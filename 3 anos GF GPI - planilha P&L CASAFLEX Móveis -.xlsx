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2.xml" ContentType="application/vnd.openxmlformats-officedocument.drawingml.chartshapes+xml"/>
  <Override PartName="/xl/charts/chart4.xml" ContentType="application/vnd.openxmlformats-officedocument.drawingml.chart+xml"/>
  <Override PartName="/xl/drawings/drawing3.xml" ContentType="application/vnd.openxmlformats-officedocument.drawingml.chartshapes+xml"/>
  <Override PartName="/xl/charts/chart5.xml" ContentType="application/vnd.openxmlformats-officedocument.drawingml.chart+xml"/>
  <Override PartName="/xl/drawings/drawing4.xml" ContentType="application/vnd.openxmlformats-officedocument.drawingml.chartshapes+xml"/>
  <Override PartName="/xl/drawings/drawing5.xml" ContentType="application/vnd.openxmlformats-officedocument.drawing+xml"/>
  <Override PartName="/xl/charts/chart6.xml" ContentType="application/vnd.openxmlformats-officedocument.drawingml.chart+xml"/>
  <Override PartName="/xl/drawings/drawing6.xml" ContentType="application/vnd.openxmlformats-officedocument.drawingml.chartshapes+xml"/>
  <Override PartName="/xl/charts/chart7.xml" ContentType="application/vnd.openxmlformats-officedocument.drawingml.chart+xml"/>
  <Override PartName="/xl/drawings/drawing7.xml" ContentType="application/vnd.openxmlformats-officedocument.drawingml.chartshapes+xml"/>
  <Override PartName="/xl/charts/chart8.xml" ContentType="application/vnd.openxmlformats-officedocument.drawingml.chart+xml"/>
  <Override PartName="/xl/drawings/drawing8.xml" ContentType="application/vnd.openxmlformats-officedocument.drawingml.chartshapes+xml"/>
  <Override PartName="/xl/charts/chart9.xml" ContentType="application/vnd.openxmlformats-officedocument.drawingml.chart+xml"/>
  <Override PartName="/xl/drawings/drawing9.xml" ContentType="application/vnd.openxmlformats-officedocument.drawingml.chartshapes+xml"/>
  <Override PartName="/xl/charts/chart10.xml" ContentType="application/vnd.openxmlformats-officedocument.drawingml.chart+xml"/>
  <Override PartName="/xl/drawings/drawing10.xml" ContentType="application/vnd.openxmlformats-officedocument.drawingml.chartshapes+xml"/>
  <Override PartName="/xl/drawings/drawing11.xml" ContentType="application/vnd.openxmlformats-officedocument.drawing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12.xml" ContentType="application/vnd.openxmlformats-officedocument.drawing+xml"/>
  <Override PartName="/xl/charts/chart16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Vitão\OneDrive\Desktop\"/>
    </mc:Choice>
  </mc:AlternateContent>
  <xr:revisionPtr revIDLastSave="0" documentId="13_ncr:1_{9F575B03-B299-439C-B3B4-7E67E00DA393}" xr6:coauthVersionLast="47" xr6:coauthVersionMax="47" xr10:uidLastSave="{00000000-0000-0000-0000-000000000000}"/>
  <bookViews>
    <workbookView xWindow="-120" yWindow="-120" windowWidth="29040" windowHeight="15720" activeTab="4" xr2:uid="{00000000-000D-0000-FFFF-FFFF00000000}"/>
  </bookViews>
  <sheets>
    <sheet name="P &amp; L" sheetId="1" r:id="rId1"/>
    <sheet name="Indicadores Absolutos" sheetId="2" r:id="rId2"/>
    <sheet name="Indicadores Relativos" sheetId="3" r:id="rId3"/>
    <sheet name="SIMULAÇÃO" sheetId="5" r:id="rId4"/>
    <sheet name="ORÇAMENTO 3 anos" sheetId="4" r:id="rId5"/>
  </sheets>
  <definedNames>
    <definedName name="_xlnm._FilterDatabase" localSheetId="1" hidden="1">'Indicadores Absolutos'!$B$125:$N$126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F56" i="4" l="1"/>
  <c r="AE59" i="4"/>
  <c r="T56" i="4"/>
  <c r="S59" i="4"/>
  <c r="H56" i="4"/>
  <c r="G59" i="4"/>
  <c r="Z7" i="4"/>
  <c r="N7" i="4"/>
  <c r="F7" i="5"/>
  <c r="J25" i="5"/>
  <c r="J13" i="5"/>
  <c r="F25" i="5"/>
  <c r="F13" i="5"/>
  <c r="F10" i="5"/>
  <c r="J7" i="5"/>
  <c r="J10" i="5"/>
  <c r="J16" i="5"/>
  <c r="I63" i="1"/>
  <c r="J60" i="1"/>
  <c r="D57" i="1"/>
  <c r="D60" i="1"/>
  <c r="D63" i="1"/>
  <c r="D66" i="1"/>
  <c r="D21" i="1"/>
  <c r="E21" i="1"/>
  <c r="F21" i="1"/>
  <c r="G21" i="1"/>
  <c r="H21" i="1"/>
  <c r="I21" i="1"/>
  <c r="J21" i="1"/>
  <c r="K21" i="1"/>
  <c r="L21" i="1"/>
  <c r="M21" i="1"/>
  <c r="N21" i="1"/>
  <c r="O21" i="1"/>
  <c r="C9" i="2"/>
  <c r="J30" i="5"/>
  <c r="J22" i="5"/>
  <c r="J19" i="5"/>
  <c r="F30" i="5"/>
  <c r="F22" i="5"/>
  <c r="F19" i="5"/>
  <c r="F16" i="5"/>
  <c r="C30" i="5"/>
  <c r="C25" i="5"/>
  <c r="C22" i="5"/>
  <c r="C19" i="5"/>
  <c r="C16" i="5"/>
  <c r="C13" i="5"/>
  <c r="C10" i="5"/>
  <c r="C7" i="5"/>
  <c r="N83" i="4" l="1"/>
  <c r="N86" i="4"/>
  <c r="O146" i="4"/>
  <c r="N146" i="4"/>
  <c r="Z146" i="4" s="1"/>
  <c r="N110" i="4"/>
  <c r="N51" i="4"/>
  <c r="Z110" i="4" l="1"/>
  <c r="N18" i="4"/>
  <c r="N20" i="4" s="1"/>
  <c r="N13" i="4"/>
  <c r="N15" i="4" s="1"/>
  <c r="N8" i="4" l="1"/>
  <c r="Z8" i="4" s="1"/>
  <c r="O158" i="4" l="1"/>
  <c r="AA158" i="4" s="1"/>
  <c r="P158" i="4"/>
  <c r="AB158" i="4" s="1"/>
  <c r="Q158" i="4"/>
  <c r="AC158" i="4" s="1"/>
  <c r="R158" i="4"/>
  <c r="AD158" i="4" s="1"/>
  <c r="S158" i="4"/>
  <c r="AE158" i="4" s="1"/>
  <c r="T158" i="4"/>
  <c r="AF158" i="4" s="1"/>
  <c r="U158" i="4"/>
  <c r="AG158" i="4" s="1"/>
  <c r="V158" i="4"/>
  <c r="AH158" i="4" s="1"/>
  <c r="W158" i="4"/>
  <c r="AI158" i="4" s="1"/>
  <c r="X158" i="4"/>
  <c r="Y158" i="4"/>
  <c r="AK158" i="4" s="1"/>
  <c r="O159" i="4"/>
  <c r="AA159" i="4" s="1"/>
  <c r="P159" i="4"/>
  <c r="AB159" i="4" s="1"/>
  <c r="Q159" i="4"/>
  <c r="AC159" i="4" s="1"/>
  <c r="R159" i="4"/>
  <c r="AD159" i="4" s="1"/>
  <c r="S159" i="4"/>
  <c r="AE159" i="4" s="1"/>
  <c r="T159" i="4"/>
  <c r="AF159" i="4" s="1"/>
  <c r="U159" i="4"/>
  <c r="AG159" i="4" s="1"/>
  <c r="V159" i="4"/>
  <c r="AH159" i="4" s="1"/>
  <c r="W159" i="4"/>
  <c r="AI159" i="4" s="1"/>
  <c r="X159" i="4"/>
  <c r="AJ159" i="4" s="1"/>
  <c r="Y159" i="4"/>
  <c r="AK159" i="4" s="1"/>
  <c r="N159" i="4"/>
  <c r="Z159" i="4" s="1"/>
  <c r="N158" i="4"/>
  <c r="Z158" i="4" s="1"/>
  <c r="O155" i="4"/>
  <c r="AA155" i="4" s="1"/>
  <c r="P155" i="4"/>
  <c r="AB155" i="4" s="1"/>
  <c r="Q155" i="4"/>
  <c r="AC155" i="4" s="1"/>
  <c r="R155" i="4"/>
  <c r="AD155" i="4" s="1"/>
  <c r="S155" i="4"/>
  <c r="AE155" i="4" s="1"/>
  <c r="T155" i="4"/>
  <c r="AF155" i="4" s="1"/>
  <c r="U155" i="4"/>
  <c r="AG155" i="4" s="1"/>
  <c r="V155" i="4"/>
  <c r="AH155" i="4" s="1"/>
  <c r="W155" i="4"/>
  <c r="AI155" i="4" s="1"/>
  <c r="X155" i="4"/>
  <c r="AJ155" i="4" s="1"/>
  <c r="Y155" i="4"/>
  <c r="AK155" i="4" s="1"/>
  <c r="O156" i="4"/>
  <c r="AA156" i="4" s="1"/>
  <c r="P156" i="4"/>
  <c r="AB156" i="4" s="1"/>
  <c r="Q156" i="4"/>
  <c r="AC156" i="4" s="1"/>
  <c r="R156" i="4"/>
  <c r="AD156" i="4" s="1"/>
  <c r="S156" i="4"/>
  <c r="AE156" i="4" s="1"/>
  <c r="T156" i="4"/>
  <c r="AF156" i="4" s="1"/>
  <c r="U156" i="4"/>
  <c r="AG156" i="4" s="1"/>
  <c r="V156" i="4"/>
  <c r="AH156" i="4" s="1"/>
  <c r="W156" i="4"/>
  <c r="AI156" i="4" s="1"/>
  <c r="X156" i="4"/>
  <c r="AJ156" i="4" s="1"/>
  <c r="Y156" i="4"/>
  <c r="AK156" i="4" s="1"/>
  <c r="N156" i="4"/>
  <c r="Z156" i="4" s="1"/>
  <c r="N155" i="4"/>
  <c r="Z155" i="4" s="1"/>
  <c r="O152" i="4"/>
  <c r="AA152" i="4" s="1"/>
  <c r="P152" i="4"/>
  <c r="AB152" i="4" s="1"/>
  <c r="Q152" i="4"/>
  <c r="AC152" i="4" s="1"/>
  <c r="R152" i="4"/>
  <c r="AD152" i="4" s="1"/>
  <c r="S152" i="4"/>
  <c r="AE152" i="4" s="1"/>
  <c r="T152" i="4"/>
  <c r="AF152" i="4" s="1"/>
  <c r="U152" i="4"/>
  <c r="AG152" i="4" s="1"/>
  <c r="V152" i="4"/>
  <c r="AH152" i="4" s="1"/>
  <c r="W152" i="4"/>
  <c r="AI152" i="4" s="1"/>
  <c r="X152" i="4"/>
  <c r="AJ152" i="4" s="1"/>
  <c r="Y152" i="4"/>
  <c r="AK152" i="4" s="1"/>
  <c r="O153" i="4"/>
  <c r="AA153" i="4" s="1"/>
  <c r="P153" i="4"/>
  <c r="AB153" i="4" s="1"/>
  <c r="Q153" i="4"/>
  <c r="AC153" i="4" s="1"/>
  <c r="R153" i="4"/>
  <c r="AD153" i="4" s="1"/>
  <c r="S153" i="4"/>
  <c r="AE153" i="4" s="1"/>
  <c r="T153" i="4"/>
  <c r="AF153" i="4" s="1"/>
  <c r="U153" i="4"/>
  <c r="AG153" i="4" s="1"/>
  <c r="V153" i="4"/>
  <c r="AH153" i="4" s="1"/>
  <c r="W153" i="4"/>
  <c r="AI153" i="4" s="1"/>
  <c r="X153" i="4"/>
  <c r="AJ153" i="4" s="1"/>
  <c r="Y153" i="4"/>
  <c r="AK153" i="4" s="1"/>
  <c r="N153" i="4"/>
  <c r="Z153" i="4" s="1"/>
  <c r="N152" i="4"/>
  <c r="Z152" i="4" s="1"/>
  <c r="O149" i="4"/>
  <c r="AA149" i="4" s="1"/>
  <c r="P149" i="4"/>
  <c r="AB149" i="4" s="1"/>
  <c r="Q149" i="4"/>
  <c r="AC149" i="4" s="1"/>
  <c r="R149" i="4"/>
  <c r="AD149" i="4" s="1"/>
  <c r="S149" i="4"/>
  <c r="AE149" i="4" s="1"/>
  <c r="T149" i="4"/>
  <c r="AF149" i="4" s="1"/>
  <c r="U149" i="4"/>
  <c r="AG149" i="4" s="1"/>
  <c r="V149" i="4"/>
  <c r="AH149" i="4" s="1"/>
  <c r="W149" i="4"/>
  <c r="AI149" i="4" s="1"/>
  <c r="X149" i="4"/>
  <c r="AJ149" i="4" s="1"/>
  <c r="Y149" i="4"/>
  <c r="AK149" i="4" s="1"/>
  <c r="O150" i="4"/>
  <c r="AA150" i="4" s="1"/>
  <c r="P150" i="4"/>
  <c r="AB150" i="4" s="1"/>
  <c r="Q150" i="4"/>
  <c r="AC150" i="4" s="1"/>
  <c r="R150" i="4"/>
  <c r="AD150" i="4" s="1"/>
  <c r="S150" i="4"/>
  <c r="AE150" i="4" s="1"/>
  <c r="T150" i="4"/>
  <c r="AF150" i="4" s="1"/>
  <c r="U150" i="4"/>
  <c r="AG150" i="4" s="1"/>
  <c r="V150" i="4"/>
  <c r="AH150" i="4" s="1"/>
  <c r="W150" i="4"/>
  <c r="AI150" i="4" s="1"/>
  <c r="X150" i="4"/>
  <c r="AJ150" i="4" s="1"/>
  <c r="Y150" i="4"/>
  <c r="AK150" i="4" s="1"/>
  <c r="N150" i="4"/>
  <c r="Z150" i="4" s="1"/>
  <c r="N149" i="4"/>
  <c r="Z149" i="4" s="1"/>
  <c r="AA146" i="4"/>
  <c r="P146" i="4"/>
  <c r="AB146" i="4" s="1"/>
  <c r="Q146" i="4"/>
  <c r="AC146" i="4" s="1"/>
  <c r="R146" i="4"/>
  <c r="AD146" i="4" s="1"/>
  <c r="S146" i="4"/>
  <c r="AE146" i="4" s="1"/>
  <c r="T146" i="4"/>
  <c r="AF146" i="4" s="1"/>
  <c r="U146" i="4"/>
  <c r="AG146" i="4" s="1"/>
  <c r="V146" i="4"/>
  <c r="AH146" i="4" s="1"/>
  <c r="W146" i="4"/>
  <c r="AI146" i="4" s="1"/>
  <c r="X146" i="4"/>
  <c r="AJ146" i="4" s="1"/>
  <c r="Y146" i="4"/>
  <c r="AK146" i="4" s="1"/>
  <c r="O147" i="4"/>
  <c r="AA147" i="4" s="1"/>
  <c r="P147" i="4"/>
  <c r="AB147" i="4" s="1"/>
  <c r="Q147" i="4"/>
  <c r="AC147" i="4" s="1"/>
  <c r="R147" i="4"/>
  <c r="AD147" i="4" s="1"/>
  <c r="S147" i="4"/>
  <c r="AE147" i="4" s="1"/>
  <c r="T147" i="4"/>
  <c r="AF147" i="4" s="1"/>
  <c r="U147" i="4"/>
  <c r="AG147" i="4" s="1"/>
  <c r="V147" i="4"/>
  <c r="AH147" i="4" s="1"/>
  <c r="W147" i="4"/>
  <c r="AI147" i="4" s="1"/>
  <c r="X147" i="4"/>
  <c r="AJ147" i="4" s="1"/>
  <c r="Y147" i="4"/>
  <c r="AK147" i="4" s="1"/>
  <c r="N147" i="4"/>
  <c r="Z147" i="4" s="1"/>
  <c r="AK161" i="4"/>
  <c r="AJ161" i="4"/>
  <c r="AI161" i="4"/>
  <c r="AH161" i="4"/>
  <c r="AG161" i="4"/>
  <c r="AF161" i="4"/>
  <c r="AE161" i="4"/>
  <c r="AD161" i="4"/>
  <c r="AC161" i="4"/>
  <c r="AB161" i="4"/>
  <c r="AA161" i="4"/>
  <c r="Z161" i="4"/>
  <c r="AK124" i="4"/>
  <c r="AJ124" i="4"/>
  <c r="AI124" i="4"/>
  <c r="AH124" i="4"/>
  <c r="AG124" i="4"/>
  <c r="AF124" i="4"/>
  <c r="AE124" i="4"/>
  <c r="AD124" i="4"/>
  <c r="AC124" i="4"/>
  <c r="AB124" i="4"/>
  <c r="AA124" i="4"/>
  <c r="Z124" i="4"/>
  <c r="AJ26" i="4"/>
  <c r="AI26" i="4"/>
  <c r="AH26" i="4"/>
  <c r="AG26" i="4"/>
  <c r="AF26" i="4"/>
  <c r="AE26" i="4"/>
  <c r="AD26" i="4"/>
  <c r="AC26" i="4"/>
  <c r="AB26" i="4"/>
  <c r="AA26" i="4"/>
  <c r="Z26" i="4"/>
  <c r="Z18" i="4"/>
  <c r="Z20" i="4" s="1"/>
  <c r="Z13" i="4"/>
  <c r="Z15" i="4" s="1"/>
  <c r="O161" i="4"/>
  <c r="P161" i="4"/>
  <c r="Q161" i="4"/>
  <c r="R161" i="4"/>
  <c r="S161" i="4"/>
  <c r="T161" i="4"/>
  <c r="U161" i="4"/>
  <c r="V161" i="4"/>
  <c r="W161" i="4"/>
  <c r="X161" i="4"/>
  <c r="Y161" i="4"/>
  <c r="N161" i="4"/>
  <c r="O117" i="4"/>
  <c r="AA117" i="4" s="1"/>
  <c r="P117" i="4"/>
  <c r="AB117" i="4" s="1"/>
  <c r="Q117" i="4"/>
  <c r="AC117" i="4" s="1"/>
  <c r="R117" i="4"/>
  <c r="AD117" i="4" s="1"/>
  <c r="S117" i="4"/>
  <c r="AE117" i="4" s="1"/>
  <c r="T117" i="4"/>
  <c r="AF117" i="4" s="1"/>
  <c r="U117" i="4"/>
  <c r="AG117" i="4" s="1"/>
  <c r="V117" i="4"/>
  <c r="AH117" i="4" s="1"/>
  <c r="W117" i="4"/>
  <c r="AI117" i="4" s="1"/>
  <c r="X117" i="4"/>
  <c r="AJ117" i="4" s="1"/>
  <c r="Y117" i="4"/>
  <c r="AK117" i="4" s="1"/>
  <c r="O118" i="4"/>
  <c r="AA118" i="4" s="1"/>
  <c r="P118" i="4"/>
  <c r="AB118" i="4" s="1"/>
  <c r="Q118" i="4"/>
  <c r="AC118" i="4" s="1"/>
  <c r="R118" i="4"/>
  <c r="AD118" i="4" s="1"/>
  <c r="S118" i="4"/>
  <c r="AE118" i="4" s="1"/>
  <c r="T118" i="4"/>
  <c r="AF118" i="4" s="1"/>
  <c r="U118" i="4"/>
  <c r="AG118" i="4" s="1"/>
  <c r="V118" i="4"/>
  <c r="AH118" i="4" s="1"/>
  <c r="W118" i="4"/>
  <c r="AI118" i="4" s="1"/>
  <c r="X118" i="4"/>
  <c r="AJ118" i="4" s="1"/>
  <c r="Y118" i="4"/>
  <c r="AK118" i="4" s="1"/>
  <c r="O119" i="4"/>
  <c r="AA119" i="4" s="1"/>
  <c r="P119" i="4"/>
  <c r="AB119" i="4" s="1"/>
  <c r="Q119" i="4"/>
  <c r="AC119" i="4" s="1"/>
  <c r="R119" i="4"/>
  <c r="AD119" i="4" s="1"/>
  <c r="S119" i="4"/>
  <c r="AE119" i="4" s="1"/>
  <c r="T119" i="4"/>
  <c r="AF119" i="4" s="1"/>
  <c r="U119" i="4"/>
  <c r="AG119" i="4" s="1"/>
  <c r="V119" i="4"/>
  <c r="AH119" i="4" s="1"/>
  <c r="W119" i="4"/>
  <c r="AI119" i="4" s="1"/>
  <c r="X119" i="4"/>
  <c r="AJ119" i="4" s="1"/>
  <c r="Y119" i="4"/>
  <c r="AK119" i="4" s="1"/>
  <c r="O120" i="4"/>
  <c r="AA120" i="4" s="1"/>
  <c r="P120" i="4"/>
  <c r="AB120" i="4" s="1"/>
  <c r="Q120" i="4"/>
  <c r="AC120" i="4" s="1"/>
  <c r="R120" i="4"/>
  <c r="AD120" i="4" s="1"/>
  <c r="S120" i="4"/>
  <c r="AE120" i="4" s="1"/>
  <c r="T120" i="4"/>
  <c r="AF120" i="4" s="1"/>
  <c r="U120" i="4"/>
  <c r="AG120" i="4" s="1"/>
  <c r="V120" i="4"/>
  <c r="AH120" i="4" s="1"/>
  <c r="W120" i="4"/>
  <c r="AI120" i="4" s="1"/>
  <c r="X120" i="4"/>
  <c r="AJ120" i="4" s="1"/>
  <c r="Y120" i="4"/>
  <c r="AK120" i="4" s="1"/>
  <c r="O121" i="4"/>
  <c r="AA121" i="4" s="1"/>
  <c r="P121" i="4"/>
  <c r="AB121" i="4" s="1"/>
  <c r="Q121" i="4"/>
  <c r="AC121" i="4" s="1"/>
  <c r="R121" i="4"/>
  <c r="AD121" i="4" s="1"/>
  <c r="S121" i="4"/>
  <c r="AE121" i="4" s="1"/>
  <c r="T121" i="4"/>
  <c r="AF121" i="4" s="1"/>
  <c r="U121" i="4"/>
  <c r="AG121" i="4" s="1"/>
  <c r="V121" i="4"/>
  <c r="AH121" i="4" s="1"/>
  <c r="W121" i="4"/>
  <c r="AI121" i="4" s="1"/>
  <c r="X121" i="4"/>
  <c r="AJ121" i="4" s="1"/>
  <c r="Y121" i="4"/>
  <c r="AK121" i="4" s="1"/>
  <c r="N118" i="4"/>
  <c r="Z118" i="4" s="1"/>
  <c r="N119" i="4"/>
  <c r="Z119" i="4" s="1"/>
  <c r="N120" i="4"/>
  <c r="Z120" i="4" s="1"/>
  <c r="N121" i="4"/>
  <c r="Z121" i="4" s="1"/>
  <c r="N117" i="4"/>
  <c r="Z117" i="4" s="1"/>
  <c r="O110" i="4"/>
  <c r="AA110" i="4" s="1"/>
  <c r="P110" i="4"/>
  <c r="AB110" i="4" s="1"/>
  <c r="Q110" i="4"/>
  <c r="AC110" i="4" s="1"/>
  <c r="R110" i="4"/>
  <c r="AD110" i="4" s="1"/>
  <c r="S110" i="4"/>
  <c r="AE110" i="4" s="1"/>
  <c r="T110" i="4"/>
  <c r="AF110" i="4" s="1"/>
  <c r="U110" i="4"/>
  <c r="AG110" i="4" s="1"/>
  <c r="V110" i="4"/>
  <c r="AH110" i="4" s="1"/>
  <c r="W110" i="4"/>
  <c r="AI110" i="4" s="1"/>
  <c r="X110" i="4"/>
  <c r="AJ110" i="4" s="1"/>
  <c r="Y110" i="4"/>
  <c r="AK110" i="4" s="1"/>
  <c r="O111" i="4"/>
  <c r="AA111" i="4" s="1"/>
  <c r="P111" i="4"/>
  <c r="AB111" i="4" s="1"/>
  <c r="Q111" i="4"/>
  <c r="AC111" i="4" s="1"/>
  <c r="R111" i="4"/>
  <c r="AD111" i="4" s="1"/>
  <c r="S111" i="4"/>
  <c r="AE111" i="4" s="1"/>
  <c r="T111" i="4"/>
  <c r="AF111" i="4" s="1"/>
  <c r="U111" i="4"/>
  <c r="AG111" i="4" s="1"/>
  <c r="V111" i="4"/>
  <c r="AH111" i="4" s="1"/>
  <c r="W111" i="4"/>
  <c r="AI111" i="4" s="1"/>
  <c r="X111" i="4"/>
  <c r="AJ111" i="4" s="1"/>
  <c r="Y111" i="4"/>
  <c r="AK111" i="4" s="1"/>
  <c r="O112" i="4"/>
  <c r="AA112" i="4" s="1"/>
  <c r="P112" i="4"/>
  <c r="AB112" i="4" s="1"/>
  <c r="Q112" i="4"/>
  <c r="AC112" i="4" s="1"/>
  <c r="R112" i="4"/>
  <c r="AD112" i="4" s="1"/>
  <c r="S112" i="4"/>
  <c r="AE112" i="4" s="1"/>
  <c r="T112" i="4"/>
  <c r="AF112" i="4" s="1"/>
  <c r="U112" i="4"/>
  <c r="AG112" i="4" s="1"/>
  <c r="V112" i="4"/>
  <c r="AH112" i="4" s="1"/>
  <c r="W112" i="4"/>
  <c r="AI112" i="4" s="1"/>
  <c r="X112" i="4"/>
  <c r="AJ112" i="4" s="1"/>
  <c r="Y112" i="4"/>
  <c r="AK112" i="4" s="1"/>
  <c r="O113" i="4"/>
  <c r="AA113" i="4" s="1"/>
  <c r="P113" i="4"/>
  <c r="AB113" i="4" s="1"/>
  <c r="Q113" i="4"/>
  <c r="AC113" i="4" s="1"/>
  <c r="R113" i="4"/>
  <c r="AD113" i="4" s="1"/>
  <c r="S113" i="4"/>
  <c r="AE113" i="4" s="1"/>
  <c r="T113" i="4"/>
  <c r="AF113" i="4" s="1"/>
  <c r="U113" i="4"/>
  <c r="AG113" i="4" s="1"/>
  <c r="V113" i="4"/>
  <c r="AH113" i="4" s="1"/>
  <c r="W113" i="4"/>
  <c r="AI113" i="4" s="1"/>
  <c r="X113" i="4"/>
  <c r="AJ113" i="4" s="1"/>
  <c r="Y113" i="4"/>
  <c r="AK113" i="4" s="1"/>
  <c r="O114" i="4"/>
  <c r="AA114" i="4" s="1"/>
  <c r="P114" i="4"/>
  <c r="AB114" i="4" s="1"/>
  <c r="Q114" i="4"/>
  <c r="AC114" i="4" s="1"/>
  <c r="R114" i="4"/>
  <c r="AD114" i="4" s="1"/>
  <c r="S114" i="4"/>
  <c r="AE114" i="4" s="1"/>
  <c r="T114" i="4"/>
  <c r="AF114" i="4" s="1"/>
  <c r="U114" i="4"/>
  <c r="AG114" i="4" s="1"/>
  <c r="V114" i="4"/>
  <c r="AH114" i="4" s="1"/>
  <c r="W114" i="4"/>
  <c r="AI114" i="4" s="1"/>
  <c r="X114" i="4"/>
  <c r="AJ114" i="4" s="1"/>
  <c r="Y114" i="4"/>
  <c r="AK114" i="4" s="1"/>
  <c r="N111" i="4"/>
  <c r="Z111" i="4" s="1"/>
  <c r="N112" i="4"/>
  <c r="Z112" i="4" s="1"/>
  <c r="N113" i="4"/>
  <c r="Z113" i="4" s="1"/>
  <c r="N114" i="4"/>
  <c r="Z114" i="4" s="1"/>
  <c r="O95" i="4"/>
  <c r="AA95" i="4" s="1"/>
  <c r="P95" i="4"/>
  <c r="AB95" i="4" s="1"/>
  <c r="Q95" i="4"/>
  <c r="AC95" i="4" s="1"/>
  <c r="R95" i="4"/>
  <c r="AD95" i="4" s="1"/>
  <c r="S95" i="4"/>
  <c r="AE95" i="4" s="1"/>
  <c r="T95" i="4"/>
  <c r="AF95" i="4" s="1"/>
  <c r="U95" i="4"/>
  <c r="AG95" i="4" s="1"/>
  <c r="V95" i="4"/>
  <c r="AH95" i="4" s="1"/>
  <c r="W95" i="4"/>
  <c r="AI95" i="4" s="1"/>
  <c r="X95" i="4"/>
  <c r="AJ95" i="4" s="1"/>
  <c r="Y95" i="4"/>
  <c r="AK95" i="4" s="1"/>
  <c r="O96" i="4"/>
  <c r="AA96" i="4" s="1"/>
  <c r="P96" i="4"/>
  <c r="AB96" i="4" s="1"/>
  <c r="Q96" i="4"/>
  <c r="AC96" i="4" s="1"/>
  <c r="R96" i="4"/>
  <c r="AD96" i="4" s="1"/>
  <c r="S96" i="4"/>
  <c r="AE96" i="4" s="1"/>
  <c r="T96" i="4"/>
  <c r="AF96" i="4" s="1"/>
  <c r="U96" i="4"/>
  <c r="AG96" i="4" s="1"/>
  <c r="V96" i="4"/>
  <c r="AH96" i="4" s="1"/>
  <c r="W96" i="4"/>
  <c r="AI96" i="4" s="1"/>
  <c r="X96" i="4"/>
  <c r="AJ96" i="4" s="1"/>
  <c r="Y96" i="4"/>
  <c r="AK96" i="4" s="1"/>
  <c r="N96" i="4"/>
  <c r="Z96" i="4" s="1"/>
  <c r="N95" i="4"/>
  <c r="Z95" i="4" s="1"/>
  <c r="O92" i="4"/>
  <c r="AA92" i="4" s="1"/>
  <c r="P92" i="4"/>
  <c r="AB92" i="4" s="1"/>
  <c r="Q92" i="4"/>
  <c r="AC92" i="4" s="1"/>
  <c r="R92" i="4"/>
  <c r="AD92" i="4" s="1"/>
  <c r="S92" i="4"/>
  <c r="AE92" i="4" s="1"/>
  <c r="T92" i="4"/>
  <c r="AF92" i="4" s="1"/>
  <c r="U92" i="4"/>
  <c r="AG92" i="4" s="1"/>
  <c r="V92" i="4"/>
  <c r="AH92" i="4" s="1"/>
  <c r="W92" i="4"/>
  <c r="AI92" i="4" s="1"/>
  <c r="X92" i="4"/>
  <c r="AJ92" i="4" s="1"/>
  <c r="Y92" i="4"/>
  <c r="AK92" i="4" s="1"/>
  <c r="O93" i="4"/>
  <c r="AA93" i="4" s="1"/>
  <c r="P93" i="4"/>
  <c r="AB93" i="4" s="1"/>
  <c r="Q93" i="4"/>
  <c r="AC93" i="4" s="1"/>
  <c r="R93" i="4"/>
  <c r="AD93" i="4" s="1"/>
  <c r="S93" i="4"/>
  <c r="AE93" i="4" s="1"/>
  <c r="T93" i="4"/>
  <c r="AF93" i="4" s="1"/>
  <c r="U93" i="4"/>
  <c r="AG93" i="4" s="1"/>
  <c r="V93" i="4"/>
  <c r="AH93" i="4" s="1"/>
  <c r="W93" i="4"/>
  <c r="AI93" i="4" s="1"/>
  <c r="X93" i="4"/>
  <c r="AJ93" i="4" s="1"/>
  <c r="Y93" i="4"/>
  <c r="AK93" i="4" s="1"/>
  <c r="N93" i="4"/>
  <c r="Z93" i="4" s="1"/>
  <c r="N92" i="4"/>
  <c r="Z92" i="4" s="1"/>
  <c r="O89" i="4"/>
  <c r="AA89" i="4" s="1"/>
  <c r="P89" i="4"/>
  <c r="AB89" i="4" s="1"/>
  <c r="Q89" i="4"/>
  <c r="AC89" i="4" s="1"/>
  <c r="R89" i="4"/>
  <c r="AD89" i="4" s="1"/>
  <c r="S89" i="4"/>
  <c r="AE89" i="4" s="1"/>
  <c r="T89" i="4"/>
  <c r="AF89" i="4" s="1"/>
  <c r="U89" i="4"/>
  <c r="AG89" i="4" s="1"/>
  <c r="V89" i="4"/>
  <c r="AH89" i="4" s="1"/>
  <c r="W89" i="4"/>
  <c r="AI89" i="4" s="1"/>
  <c r="X89" i="4"/>
  <c r="AJ89" i="4" s="1"/>
  <c r="Y89" i="4"/>
  <c r="AK89" i="4" s="1"/>
  <c r="O90" i="4"/>
  <c r="AA90" i="4" s="1"/>
  <c r="P90" i="4"/>
  <c r="AB90" i="4" s="1"/>
  <c r="Q90" i="4"/>
  <c r="AC90" i="4" s="1"/>
  <c r="R90" i="4"/>
  <c r="AD90" i="4" s="1"/>
  <c r="S90" i="4"/>
  <c r="AE90" i="4" s="1"/>
  <c r="T90" i="4"/>
  <c r="AF90" i="4" s="1"/>
  <c r="U90" i="4"/>
  <c r="AG90" i="4" s="1"/>
  <c r="V90" i="4"/>
  <c r="AH90" i="4" s="1"/>
  <c r="W90" i="4"/>
  <c r="AI90" i="4" s="1"/>
  <c r="X90" i="4"/>
  <c r="AJ90" i="4" s="1"/>
  <c r="Y90" i="4"/>
  <c r="AK90" i="4" s="1"/>
  <c r="N90" i="4"/>
  <c r="Z90" i="4" s="1"/>
  <c r="N89" i="4"/>
  <c r="Z89" i="4" s="1"/>
  <c r="O86" i="4"/>
  <c r="AA86" i="4" s="1"/>
  <c r="P86" i="4"/>
  <c r="AB86" i="4" s="1"/>
  <c r="Q86" i="4"/>
  <c r="AC86" i="4" s="1"/>
  <c r="R86" i="4"/>
  <c r="AD86" i="4" s="1"/>
  <c r="S86" i="4"/>
  <c r="AE86" i="4" s="1"/>
  <c r="T86" i="4"/>
  <c r="AF86" i="4" s="1"/>
  <c r="U86" i="4"/>
  <c r="AG86" i="4" s="1"/>
  <c r="V86" i="4"/>
  <c r="AH86" i="4" s="1"/>
  <c r="W86" i="4"/>
  <c r="AI86" i="4" s="1"/>
  <c r="X86" i="4"/>
  <c r="AJ86" i="4" s="1"/>
  <c r="Y86" i="4"/>
  <c r="AK86" i="4" s="1"/>
  <c r="O87" i="4"/>
  <c r="AA87" i="4" s="1"/>
  <c r="P87" i="4"/>
  <c r="AB87" i="4" s="1"/>
  <c r="Q87" i="4"/>
  <c r="AC87" i="4" s="1"/>
  <c r="R87" i="4"/>
  <c r="AD87" i="4" s="1"/>
  <c r="S87" i="4"/>
  <c r="AE87" i="4" s="1"/>
  <c r="T87" i="4"/>
  <c r="AF87" i="4" s="1"/>
  <c r="U87" i="4"/>
  <c r="AG87" i="4" s="1"/>
  <c r="V87" i="4"/>
  <c r="AH87" i="4" s="1"/>
  <c r="W87" i="4"/>
  <c r="AI87" i="4" s="1"/>
  <c r="X87" i="4"/>
  <c r="AJ87" i="4" s="1"/>
  <c r="Y87" i="4"/>
  <c r="AK87" i="4" s="1"/>
  <c r="N87" i="4"/>
  <c r="Z87" i="4" s="1"/>
  <c r="Z86" i="4"/>
  <c r="O83" i="4"/>
  <c r="AA83" i="4" s="1"/>
  <c r="P83" i="4"/>
  <c r="AB83" i="4" s="1"/>
  <c r="Q83" i="4"/>
  <c r="AC83" i="4" s="1"/>
  <c r="R83" i="4"/>
  <c r="AD83" i="4" s="1"/>
  <c r="S83" i="4"/>
  <c r="AE83" i="4" s="1"/>
  <c r="T83" i="4"/>
  <c r="AF83" i="4" s="1"/>
  <c r="U83" i="4"/>
  <c r="AG83" i="4" s="1"/>
  <c r="V83" i="4"/>
  <c r="AH83" i="4" s="1"/>
  <c r="W83" i="4"/>
  <c r="AI83" i="4" s="1"/>
  <c r="X83" i="4"/>
  <c r="AJ83" i="4" s="1"/>
  <c r="Y83" i="4"/>
  <c r="AK83" i="4" s="1"/>
  <c r="O84" i="4"/>
  <c r="AA84" i="4" s="1"/>
  <c r="P84" i="4"/>
  <c r="AB84" i="4" s="1"/>
  <c r="Q84" i="4"/>
  <c r="AC84" i="4" s="1"/>
  <c r="R84" i="4"/>
  <c r="AD84" i="4" s="1"/>
  <c r="S84" i="4"/>
  <c r="AE84" i="4" s="1"/>
  <c r="T84" i="4"/>
  <c r="AF84" i="4" s="1"/>
  <c r="U84" i="4"/>
  <c r="AG84" i="4" s="1"/>
  <c r="V84" i="4"/>
  <c r="AH84" i="4" s="1"/>
  <c r="W84" i="4"/>
  <c r="AI84" i="4" s="1"/>
  <c r="X84" i="4"/>
  <c r="AJ84" i="4" s="1"/>
  <c r="Y84" i="4"/>
  <c r="AK84" i="4" s="1"/>
  <c r="N84" i="4"/>
  <c r="Z84" i="4" s="1"/>
  <c r="Z83" i="4"/>
  <c r="O79" i="4"/>
  <c r="AA79" i="4" s="1"/>
  <c r="P79" i="4"/>
  <c r="AB79" i="4" s="1"/>
  <c r="Q79" i="4"/>
  <c r="AC79" i="4" s="1"/>
  <c r="R79" i="4"/>
  <c r="AD79" i="4" s="1"/>
  <c r="S79" i="4"/>
  <c r="AE79" i="4" s="1"/>
  <c r="T79" i="4"/>
  <c r="AF79" i="4" s="1"/>
  <c r="U79" i="4"/>
  <c r="AG79" i="4" s="1"/>
  <c r="V79" i="4"/>
  <c r="AH79" i="4" s="1"/>
  <c r="W79" i="4"/>
  <c r="AI79" i="4" s="1"/>
  <c r="X79" i="4"/>
  <c r="AJ79" i="4" s="1"/>
  <c r="Y79" i="4"/>
  <c r="AK79" i="4" s="1"/>
  <c r="O80" i="4"/>
  <c r="AA80" i="4" s="1"/>
  <c r="P80" i="4"/>
  <c r="AB80" i="4" s="1"/>
  <c r="Q80" i="4"/>
  <c r="AC80" i="4" s="1"/>
  <c r="R80" i="4"/>
  <c r="AD80" i="4" s="1"/>
  <c r="S80" i="4"/>
  <c r="AE80" i="4" s="1"/>
  <c r="T80" i="4"/>
  <c r="AF80" i="4" s="1"/>
  <c r="U80" i="4"/>
  <c r="AG80" i="4" s="1"/>
  <c r="V80" i="4"/>
  <c r="AH80" i="4" s="1"/>
  <c r="W80" i="4"/>
  <c r="AI80" i="4" s="1"/>
  <c r="X80" i="4"/>
  <c r="AJ80" i="4" s="1"/>
  <c r="Y80" i="4"/>
  <c r="AK80" i="4" s="1"/>
  <c r="N80" i="4"/>
  <c r="Z80" i="4" s="1"/>
  <c r="N79" i="4"/>
  <c r="Z79" i="4" s="1"/>
  <c r="O76" i="4"/>
  <c r="AA76" i="4" s="1"/>
  <c r="P76" i="4"/>
  <c r="AB76" i="4" s="1"/>
  <c r="Q76" i="4"/>
  <c r="AC76" i="4" s="1"/>
  <c r="R76" i="4"/>
  <c r="AD76" i="4" s="1"/>
  <c r="S76" i="4"/>
  <c r="AE76" i="4" s="1"/>
  <c r="T76" i="4"/>
  <c r="AF76" i="4" s="1"/>
  <c r="U76" i="4"/>
  <c r="AG76" i="4" s="1"/>
  <c r="V76" i="4"/>
  <c r="AH76" i="4" s="1"/>
  <c r="W76" i="4"/>
  <c r="AI76" i="4" s="1"/>
  <c r="X76" i="4"/>
  <c r="AJ76" i="4" s="1"/>
  <c r="Y76" i="4"/>
  <c r="AK76" i="4" s="1"/>
  <c r="O77" i="4"/>
  <c r="AA77" i="4" s="1"/>
  <c r="P77" i="4"/>
  <c r="AB77" i="4" s="1"/>
  <c r="Q77" i="4"/>
  <c r="AC77" i="4" s="1"/>
  <c r="R77" i="4"/>
  <c r="AD77" i="4" s="1"/>
  <c r="S77" i="4"/>
  <c r="AE77" i="4" s="1"/>
  <c r="T77" i="4"/>
  <c r="AF77" i="4" s="1"/>
  <c r="U77" i="4"/>
  <c r="AG77" i="4" s="1"/>
  <c r="V77" i="4"/>
  <c r="AH77" i="4" s="1"/>
  <c r="W77" i="4"/>
  <c r="AI77" i="4" s="1"/>
  <c r="X77" i="4"/>
  <c r="AJ77" i="4" s="1"/>
  <c r="Y77" i="4"/>
  <c r="AK77" i="4" s="1"/>
  <c r="N77" i="4"/>
  <c r="Z77" i="4" s="1"/>
  <c r="N76" i="4"/>
  <c r="Z76" i="4" s="1"/>
  <c r="O73" i="4"/>
  <c r="AA73" i="4" s="1"/>
  <c r="P73" i="4"/>
  <c r="AB73" i="4" s="1"/>
  <c r="Q73" i="4"/>
  <c r="AC73" i="4" s="1"/>
  <c r="R73" i="4"/>
  <c r="AD73" i="4" s="1"/>
  <c r="S73" i="4"/>
  <c r="AE73" i="4" s="1"/>
  <c r="T73" i="4"/>
  <c r="AF73" i="4" s="1"/>
  <c r="U73" i="4"/>
  <c r="AG73" i="4" s="1"/>
  <c r="V73" i="4"/>
  <c r="AH73" i="4" s="1"/>
  <c r="W73" i="4"/>
  <c r="AI73" i="4" s="1"/>
  <c r="X73" i="4"/>
  <c r="AJ73" i="4" s="1"/>
  <c r="Y73" i="4"/>
  <c r="AK73" i="4" s="1"/>
  <c r="O74" i="4"/>
  <c r="AA74" i="4" s="1"/>
  <c r="P74" i="4"/>
  <c r="AB74" i="4" s="1"/>
  <c r="Q74" i="4"/>
  <c r="AC74" i="4" s="1"/>
  <c r="R74" i="4"/>
  <c r="AD74" i="4" s="1"/>
  <c r="S74" i="4"/>
  <c r="AE74" i="4" s="1"/>
  <c r="T74" i="4"/>
  <c r="AF74" i="4" s="1"/>
  <c r="U74" i="4"/>
  <c r="AG74" i="4" s="1"/>
  <c r="V74" i="4"/>
  <c r="AH74" i="4" s="1"/>
  <c r="W74" i="4"/>
  <c r="AI74" i="4" s="1"/>
  <c r="X74" i="4"/>
  <c r="AJ74" i="4" s="1"/>
  <c r="Y74" i="4"/>
  <c r="AK74" i="4" s="1"/>
  <c r="N74" i="4"/>
  <c r="Z74" i="4" s="1"/>
  <c r="N73" i="4"/>
  <c r="Z73" i="4" s="1"/>
  <c r="O70" i="4"/>
  <c r="AA70" i="4" s="1"/>
  <c r="P70" i="4"/>
  <c r="AB70" i="4" s="1"/>
  <c r="Q70" i="4"/>
  <c r="AC70" i="4" s="1"/>
  <c r="R70" i="4"/>
  <c r="AD70" i="4" s="1"/>
  <c r="S70" i="4"/>
  <c r="AE70" i="4" s="1"/>
  <c r="T70" i="4"/>
  <c r="AF70" i="4" s="1"/>
  <c r="U70" i="4"/>
  <c r="AG70" i="4" s="1"/>
  <c r="V70" i="4"/>
  <c r="AH70" i="4" s="1"/>
  <c r="W70" i="4"/>
  <c r="AI70" i="4" s="1"/>
  <c r="X70" i="4"/>
  <c r="AJ70" i="4" s="1"/>
  <c r="Y70" i="4"/>
  <c r="AK70" i="4" s="1"/>
  <c r="O71" i="4"/>
  <c r="AA71" i="4" s="1"/>
  <c r="P71" i="4"/>
  <c r="AB71" i="4" s="1"/>
  <c r="Q71" i="4"/>
  <c r="AC71" i="4" s="1"/>
  <c r="R71" i="4"/>
  <c r="AD71" i="4" s="1"/>
  <c r="S71" i="4"/>
  <c r="AE71" i="4" s="1"/>
  <c r="T71" i="4"/>
  <c r="AF71" i="4" s="1"/>
  <c r="U71" i="4"/>
  <c r="AG71" i="4" s="1"/>
  <c r="V71" i="4"/>
  <c r="AH71" i="4" s="1"/>
  <c r="W71" i="4"/>
  <c r="AI71" i="4" s="1"/>
  <c r="X71" i="4"/>
  <c r="AJ71" i="4" s="1"/>
  <c r="Y71" i="4"/>
  <c r="AK71" i="4" s="1"/>
  <c r="N71" i="4"/>
  <c r="Z71" i="4" s="1"/>
  <c r="N70" i="4"/>
  <c r="Z70" i="4" s="1"/>
  <c r="O67" i="4"/>
  <c r="AA67" i="4" s="1"/>
  <c r="P67" i="4"/>
  <c r="AB67" i="4" s="1"/>
  <c r="Q67" i="4"/>
  <c r="AC67" i="4" s="1"/>
  <c r="R67" i="4"/>
  <c r="AD67" i="4" s="1"/>
  <c r="S67" i="4"/>
  <c r="AE67" i="4" s="1"/>
  <c r="T67" i="4"/>
  <c r="AF67" i="4" s="1"/>
  <c r="U67" i="4"/>
  <c r="AG67" i="4" s="1"/>
  <c r="V67" i="4"/>
  <c r="AH67" i="4" s="1"/>
  <c r="W67" i="4"/>
  <c r="AI67" i="4" s="1"/>
  <c r="X67" i="4"/>
  <c r="AJ67" i="4" s="1"/>
  <c r="Y67" i="4"/>
  <c r="AK67" i="4" s="1"/>
  <c r="O68" i="4"/>
  <c r="AA68" i="4" s="1"/>
  <c r="P68" i="4"/>
  <c r="AB68" i="4" s="1"/>
  <c r="Q68" i="4"/>
  <c r="AC68" i="4" s="1"/>
  <c r="R68" i="4"/>
  <c r="AD68" i="4" s="1"/>
  <c r="S68" i="4"/>
  <c r="AE68" i="4" s="1"/>
  <c r="T68" i="4"/>
  <c r="AF68" i="4" s="1"/>
  <c r="U68" i="4"/>
  <c r="AG68" i="4" s="1"/>
  <c r="V68" i="4"/>
  <c r="AH68" i="4" s="1"/>
  <c r="W68" i="4"/>
  <c r="AI68" i="4" s="1"/>
  <c r="X68" i="4"/>
  <c r="AJ68" i="4" s="1"/>
  <c r="Y68" i="4"/>
  <c r="AK68" i="4" s="1"/>
  <c r="N68" i="4"/>
  <c r="Z68" i="4" s="1"/>
  <c r="N67" i="4"/>
  <c r="Z67" i="4" s="1"/>
  <c r="O63" i="4"/>
  <c r="AA63" i="4" s="1"/>
  <c r="P63" i="4"/>
  <c r="AB63" i="4" s="1"/>
  <c r="Q63" i="4"/>
  <c r="AC63" i="4" s="1"/>
  <c r="R63" i="4"/>
  <c r="AD63" i="4" s="1"/>
  <c r="S63" i="4"/>
  <c r="AE63" i="4" s="1"/>
  <c r="T63" i="4"/>
  <c r="AF63" i="4" s="1"/>
  <c r="U63" i="4"/>
  <c r="AG63" i="4" s="1"/>
  <c r="V63" i="4"/>
  <c r="AH63" i="4" s="1"/>
  <c r="W63" i="4"/>
  <c r="AI63" i="4" s="1"/>
  <c r="X63" i="4"/>
  <c r="AJ63" i="4" s="1"/>
  <c r="Y63" i="4"/>
  <c r="AK63" i="4" s="1"/>
  <c r="O64" i="4"/>
  <c r="AA64" i="4" s="1"/>
  <c r="P64" i="4"/>
  <c r="AB64" i="4" s="1"/>
  <c r="Q64" i="4"/>
  <c r="AC64" i="4" s="1"/>
  <c r="R64" i="4"/>
  <c r="AD64" i="4" s="1"/>
  <c r="S64" i="4"/>
  <c r="AE64" i="4" s="1"/>
  <c r="T64" i="4"/>
  <c r="AF64" i="4" s="1"/>
  <c r="U64" i="4"/>
  <c r="AG64" i="4" s="1"/>
  <c r="V64" i="4"/>
  <c r="AH64" i="4" s="1"/>
  <c r="W64" i="4"/>
  <c r="AI64" i="4" s="1"/>
  <c r="X64" i="4"/>
  <c r="AJ64" i="4" s="1"/>
  <c r="Y64" i="4"/>
  <c r="AK64" i="4" s="1"/>
  <c r="N64" i="4"/>
  <c r="Z64" i="4" s="1"/>
  <c r="N63" i="4"/>
  <c r="Z63" i="4" s="1"/>
  <c r="O60" i="4"/>
  <c r="AA60" i="4" s="1"/>
  <c r="P60" i="4"/>
  <c r="AB60" i="4" s="1"/>
  <c r="Q60" i="4"/>
  <c r="AC60" i="4" s="1"/>
  <c r="R60" i="4"/>
  <c r="AD60" i="4" s="1"/>
  <c r="S60" i="4"/>
  <c r="AE60" i="4" s="1"/>
  <c r="T60" i="4"/>
  <c r="AF60" i="4" s="1"/>
  <c r="U60" i="4"/>
  <c r="AG60" i="4" s="1"/>
  <c r="V60" i="4"/>
  <c r="AH60" i="4" s="1"/>
  <c r="W60" i="4"/>
  <c r="AI60" i="4" s="1"/>
  <c r="X60" i="4"/>
  <c r="AJ60" i="4" s="1"/>
  <c r="Y60" i="4"/>
  <c r="AK60" i="4" s="1"/>
  <c r="O61" i="4"/>
  <c r="AA61" i="4" s="1"/>
  <c r="P61" i="4"/>
  <c r="AB61" i="4" s="1"/>
  <c r="Q61" i="4"/>
  <c r="AC61" i="4" s="1"/>
  <c r="R61" i="4"/>
  <c r="AD61" i="4" s="1"/>
  <c r="S61" i="4"/>
  <c r="AE61" i="4" s="1"/>
  <c r="T61" i="4"/>
  <c r="AF61" i="4" s="1"/>
  <c r="U61" i="4"/>
  <c r="AG61" i="4" s="1"/>
  <c r="V61" i="4"/>
  <c r="AH61" i="4" s="1"/>
  <c r="W61" i="4"/>
  <c r="AI61" i="4" s="1"/>
  <c r="X61" i="4"/>
  <c r="AJ61" i="4" s="1"/>
  <c r="Y61" i="4"/>
  <c r="AK61" i="4" s="1"/>
  <c r="N61" i="4"/>
  <c r="Z61" i="4" s="1"/>
  <c r="N60" i="4"/>
  <c r="Z60" i="4" s="1"/>
  <c r="O57" i="4"/>
  <c r="AA57" i="4" s="1"/>
  <c r="P57" i="4"/>
  <c r="AB57" i="4" s="1"/>
  <c r="Q57" i="4"/>
  <c r="AC57" i="4" s="1"/>
  <c r="R57" i="4"/>
  <c r="AD57" i="4" s="1"/>
  <c r="S57" i="4"/>
  <c r="AE57" i="4" s="1"/>
  <c r="T57" i="4"/>
  <c r="AF57" i="4" s="1"/>
  <c r="U57" i="4"/>
  <c r="AG57" i="4" s="1"/>
  <c r="V57" i="4"/>
  <c r="AH57" i="4" s="1"/>
  <c r="W57" i="4"/>
  <c r="AI57" i="4" s="1"/>
  <c r="X57" i="4"/>
  <c r="AJ57" i="4" s="1"/>
  <c r="Y57" i="4"/>
  <c r="AK57" i="4" s="1"/>
  <c r="O58" i="4"/>
  <c r="AA58" i="4" s="1"/>
  <c r="P58" i="4"/>
  <c r="AB58" i="4" s="1"/>
  <c r="Q58" i="4"/>
  <c r="AC58" i="4" s="1"/>
  <c r="R58" i="4"/>
  <c r="AD58" i="4" s="1"/>
  <c r="S58" i="4"/>
  <c r="AE58" i="4" s="1"/>
  <c r="T58" i="4"/>
  <c r="AF58" i="4" s="1"/>
  <c r="U58" i="4"/>
  <c r="AG58" i="4" s="1"/>
  <c r="V58" i="4"/>
  <c r="AH58" i="4" s="1"/>
  <c r="W58" i="4"/>
  <c r="AI58" i="4" s="1"/>
  <c r="X58" i="4"/>
  <c r="AJ58" i="4" s="1"/>
  <c r="Y58" i="4"/>
  <c r="AK58" i="4" s="1"/>
  <c r="N58" i="4"/>
  <c r="Z58" i="4" s="1"/>
  <c r="N57" i="4"/>
  <c r="Z57" i="4" s="1"/>
  <c r="O54" i="4"/>
  <c r="AA54" i="4" s="1"/>
  <c r="P54" i="4"/>
  <c r="AB54" i="4" s="1"/>
  <c r="Q54" i="4"/>
  <c r="AC54" i="4" s="1"/>
  <c r="R54" i="4"/>
  <c r="AD54" i="4" s="1"/>
  <c r="S54" i="4"/>
  <c r="AE54" i="4" s="1"/>
  <c r="T54" i="4"/>
  <c r="AF54" i="4" s="1"/>
  <c r="U54" i="4"/>
  <c r="AG54" i="4" s="1"/>
  <c r="V54" i="4"/>
  <c r="AH54" i="4" s="1"/>
  <c r="W54" i="4"/>
  <c r="AI54" i="4" s="1"/>
  <c r="X54" i="4"/>
  <c r="AJ54" i="4" s="1"/>
  <c r="Y54" i="4"/>
  <c r="AK54" i="4" s="1"/>
  <c r="O55" i="4"/>
  <c r="AA55" i="4" s="1"/>
  <c r="P55" i="4"/>
  <c r="AB55" i="4" s="1"/>
  <c r="Q55" i="4"/>
  <c r="AC55" i="4" s="1"/>
  <c r="R55" i="4"/>
  <c r="AD55" i="4" s="1"/>
  <c r="S55" i="4"/>
  <c r="AE55" i="4" s="1"/>
  <c r="T55" i="4"/>
  <c r="AF55" i="4" s="1"/>
  <c r="U55" i="4"/>
  <c r="AG55" i="4" s="1"/>
  <c r="V55" i="4"/>
  <c r="AH55" i="4" s="1"/>
  <c r="W55" i="4"/>
  <c r="AI55" i="4" s="1"/>
  <c r="X55" i="4"/>
  <c r="AJ55" i="4" s="1"/>
  <c r="Y55" i="4"/>
  <c r="AK55" i="4" s="1"/>
  <c r="N55" i="4"/>
  <c r="Z55" i="4" s="1"/>
  <c r="N54" i="4"/>
  <c r="Z54" i="4" s="1"/>
  <c r="O51" i="4"/>
  <c r="AA51" i="4" s="1"/>
  <c r="P51" i="4"/>
  <c r="AB51" i="4" s="1"/>
  <c r="Q51" i="4"/>
  <c r="AC51" i="4" s="1"/>
  <c r="R51" i="4"/>
  <c r="AD51" i="4" s="1"/>
  <c r="S51" i="4"/>
  <c r="AE51" i="4" s="1"/>
  <c r="T51" i="4"/>
  <c r="AF51" i="4" s="1"/>
  <c r="U51" i="4"/>
  <c r="AG51" i="4" s="1"/>
  <c r="V51" i="4"/>
  <c r="AH51" i="4" s="1"/>
  <c r="W51" i="4"/>
  <c r="AI51" i="4" s="1"/>
  <c r="X51" i="4"/>
  <c r="AJ51" i="4" s="1"/>
  <c r="Y51" i="4"/>
  <c r="AK51" i="4" s="1"/>
  <c r="O52" i="4"/>
  <c r="AA52" i="4" s="1"/>
  <c r="P52" i="4"/>
  <c r="AB52" i="4" s="1"/>
  <c r="Q52" i="4"/>
  <c r="AC52" i="4" s="1"/>
  <c r="R52" i="4"/>
  <c r="AD52" i="4" s="1"/>
  <c r="S52" i="4"/>
  <c r="AE52" i="4" s="1"/>
  <c r="T52" i="4"/>
  <c r="AF52" i="4" s="1"/>
  <c r="U52" i="4"/>
  <c r="AG52" i="4" s="1"/>
  <c r="V52" i="4"/>
  <c r="AH52" i="4" s="1"/>
  <c r="W52" i="4"/>
  <c r="AI52" i="4" s="1"/>
  <c r="X52" i="4"/>
  <c r="AJ52" i="4" s="1"/>
  <c r="Y52" i="4"/>
  <c r="AK52" i="4" s="1"/>
  <c r="N52" i="4"/>
  <c r="Z52" i="4" s="1"/>
  <c r="Z51" i="4"/>
  <c r="AJ158" i="4" l="1"/>
  <c r="AJ157" i="4" s="1"/>
  <c r="AK154" i="4"/>
  <c r="AB157" i="4"/>
  <c r="AI154" i="4"/>
  <c r="AA154" i="4"/>
  <c r="AF157" i="4"/>
  <c r="Z50" i="4"/>
  <c r="AB145" i="4"/>
  <c r="AH88" i="4"/>
  <c r="AH91" i="4"/>
  <c r="AH94" i="4"/>
  <c r="AK109" i="4"/>
  <c r="AD116" i="4"/>
  <c r="AA109" i="4"/>
  <c r="AF109" i="4"/>
  <c r="AB116" i="4"/>
  <c r="AB109" i="4"/>
  <c r="AH50" i="4"/>
  <c r="AH53" i="4"/>
  <c r="AH56" i="4"/>
  <c r="AH59" i="4"/>
  <c r="AH62" i="4"/>
  <c r="AH66" i="4"/>
  <c r="AH69" i="4"/>
  <c r="AH72" i="4"/>
  <c r="AH75" i="4"/>
  <c r="AH78" i="4"/>
  <c r="AH82" i="4"/>
  <c r="AH85" i="4"/>
  <c r="AD109" i="4"/>
  <c r="AC116" i="4"/>
  <c r="AE109" i="4"/>
  <c r="AI116" i="4"/>
  <c r="AA116" i="4"/>
  <c r="AH116" i="4"/>
  <c r="AC109" i="4"/>
  <c r="AE116" i="4"/>
  <c r="AJ116" i="4"/>
  <c r="AH109" i="4"/>
  <c r="Z116" i="4"/>
  <c r="AK116" i="4"/>
  <c r="AI109" i="4"/>
  <c r="AI107" i="4" s="1"/>
  <c r="AB53" i="4"/>
  <c r="AJ62" i="4"/>
  <c r="AB66" i="4"/>
  <c r="AB72" i="4"/>
  <c r="AJ75" i="4"/>
  <c r="AB75" i="4"/>
  <c r="AJ78" i="4"/>
  <c r="AB78" i="4"/>
  <c r="AJ82" i="4"/>
  <c r="AB82" i="4"/>
  <c r="AJ85" i="4"/>
  <c r="AB85" i="4"/>
  <c r="AJ88" i="4"/>
  <c r="AB88" i="4"/>
  <c r="AJ91" i="4"/>
  <c r="AB91" i="4"/>
  <c r="AB94" i="4"/>
  <c r="AB56" i="4"/>
  <c r="AB62" i="4"/>
  <c r="AJ69" i="4"/>
  <c r="AJ50" i="4"/>
  <c r="AJ56" i="4"/>
  <c r="AJ72" i="4"/>
  <c r="AJ109" i="4"/>
  <c r="AJ53" i="4"/>
  <c r="AJ59" i="4"/>
  <c r="AB69" i="4"/>
  <c r="AG56" i="4"/>
  <c r="AG69" i="4"/>
  <c r="AG78" i="4"/>
  <c r="AG85" i="4"/>
  <c r="AG88" i="4"/>
  <c r="AG91" i="4"/>
  <c r="AG94" i="4"/>
  <c r="AG116" i="4"/>
  <c r="AB50" i="4"/>
  <c r="AB59" i="4"/>
  <c r="AG50" i="4"/>
  <c r="AG53" i="4"/>
  <c r="AG59" i="4"/>
  <c r="AG62" i="4"/>
  <c r="AG66" i="4"/>
  <c r="AG72" i="4"/>
  <c r="AG75" i="4"/>
  <c r="AG82" i="4"/>
  <c r="AF50" i="4"/>
  <c r="AF53" i="4"/>
  <c r="AF59" i="4"/>
  <c r="AF62" i="4"/>
  <c r="AF66" i="4"/>
  <c r="AF69" i="4"/>
  <c r="AF72" i="4"/>
  <c r="AF75" i="4"/>
  <c r="AF78" i="4"/>
  <c r="AF82" i="4"/>
  <c r="AF85" i="4"/>
  <c r="AF88" i="4"/>
  <c r="AF91" i="4"/>
  <c r="AF94" i="4"/>
  <c r="AF116" i="4"/>
  <c r="AG109" i="4"/>
  <c r="AA56" i="4"/>
  <c r="Z109" i="4"/>
  <c r="AE50" i="4"/>
  <c r="AE53" i="4"/>
  <c r="AE56" i="4"/>
  <c r="AE62" i="4"/>
  <c r="AJ66" i="4"/>
  <c r="AE66" i="4"/>
  <c r="AE69" i="4"/>
  <c r="AE72" i="4"/>
  <c r="AE75" i="4"/>
  <c r="AE78" i="4"/>
  <c r="AE82" i="4"/>
  <c r="AE85" i="4"/>
  <c r="AE88" i="4"/>
  <c r="AE91" i="4"/>
  <c r="AJ94" i="4"/>
  <c r="AE94" i="4"/>
  <c r="AD50" i="4"/>
  <c r="AD53" i="4"/>
  <c r="AD56" i="4"/>
  <c r="AD59" i="4"/>
  <c r="AD62" i="4"/>
  <c r="AD66" i="4"/>
  <c r="AD69" i="4"/>
  <c r="AD72" i="4"/>
  <c r="AD75" i="4"/>
  <c r="AD78" i="4"/>
  <c r="AD82" i="4"/>
  <c r="AD85" i="4"/>
  <c r="AD88" i="4"/>
  <c r="AD91" i="4"/>
  <c r="AD94" i="4"/>
  <c r="AK53" i="4"/>
  <c r="AK56" i="4"/>
  <c r="AC56" i="4"/>
  <c r="AK59" i="4"/>
  <c r="AC59" i="4"/>
  <c r="AK62" i="4"/>
  <c r="AC62" i="4"/>
  <c r="AK66" i="4"/>
  <c r="AC66" i="4"/>
  <c r="AK69" i="4"/>
  <c r="AC69" i="4"/>
  <c r="AK72" i="4"/>
  <c r="AC72" i="4"/>
  <c r="AK75" i="4"/>
  <c r="AC75" i="4"/>
  <c r="AK78" i="4"/>
  <c r="AC78" i="4"/>
  <c r="AK82" i="4"/>
  <c r="AC82" i="4"/>
  <c r="AK85" i="4"/>
  <c r="AC85" i="4"/>
  <c r="AK88" i="4"/>
  <c r="AC88" i="4"/>
  <c r="AK91" i="4"/>
  <c r="AC91" i="4"/>
  <c r="AK94" i="4"/>
  <c r="AC94" i="4"/>
  <c r="AC50" i="4"/>
  <c r="AK50" i="4"/>
  <c r="AC53" i="4"/>
  <c r="AI50" i="4"/>
  <c r="AA50" i="4"/>
  <c r="AI53" i="4"/>
  <c r="AA53" i="4"/>
  <c r="AI56" i="4"/>
  <c r="AI59" i="4"/>
  <c r="AA59" i="4"/>
  <c r="AI62" i="4"/>
  <c r="AA62" i="4"/>
  <c r="AI66" i="4"/>
  <c r="AA66" i="4"/>
  <c r="AI69" i="4"/>
  <c r="AA69" i="4"/>
  <c r="AI72" i="4"/>
  <c r="AA72" i="4"/>
  <c r="AI75" i="4"/>
  <c r="AA75" i="4"/>
  <c r="AI78" i="4"/>
  <c r="AA78" i="4"/>
  <c r="AI82" i="4"/>
  <c r="AA82" i="4"/>
  <c r="AI85" i="4"/>
  <c r="AA85" i="4"/>
  <c r="AI88" i="4"/>
  <c r="AA88" i="4"/>
  <c r="AI91" i="4"/>
  <c r="AA91" i="4"/>
  <c r="AI94" i="4"/>
  <c r="AA94" i="4"/>
  <c r="Z53" i="4"/>
  <c r="Z56" i="4"/>
  <c r="Z59" i="4"/>
  <c r="Z62" i="4"/>
  <c r="Z66" i="4"/>
  <c r="Z69" i="4"/>
  <c r="Z72" i="4"/>
  <c r="Z75" i="4"/>
  <c r="Z78" i="4"/>
  <c r="Z82" i="4"/>
  <c r="Z85" i="4"/>
  <c r="Z88" i="4"/>
  <c r="Z91" i="4"/>
  <c r="Z94" i="4"/>
  <c r="AI145" i="4"/>
  <c r="AA145" i="4"/>
  <c r="AI148" i="4"/>
  <c r="AA148" i="4"/>
  <c r="AJ145" i="4"/>
  <c r="AH145" i="4"/>
  <c r="AH148" i="4"/>
  <c r="AH151" i="4"/>
  <c r="AH154" i="4"/>
  <c r="AB148" i="4"/>
  <c r="AG154" i="4"/>
  <c r="AF151" i="4"/>
  <c r="AE151" i="4"/>
  <c r="AE157" i="4"/>
  <c r="AJ148" i="4"/>
  <c r="Z145" i="4"/>
  <c r="Z148" i="4"/>
  <c r="Z151" i="4"/>
  <c r="Z154" i="4"/>
  <c r="AG145" i="4"/>
  <c r="AG148" i="4"/>
  <c r="AG151" i="4"/>
  <c r="AG157" i="4"/>
  <c r="AF145" i="4"/>
  <c r="AF148" i="4"/>
  <c r="AF154" i="4"/>
  <c r="AJ154" i="4"/>
  <c r="AB154" i="4"/>
  <c r="AE154" i="4"/>
  <c r="AD145" i="4"/>
  <c r="AD148" i="4"/>
  <c r="AD151" i="4"/>
  <c r="AD157" i="4"/>
  <c r="AE145" i="4"/>
  <c r="AC154" i="4"/>
  <c r="AK145" i="4"/>
  <c r="AC145" i="4"/>
  <c r="AK148" i="4"/>
  <c r="AC148" i="4"/>
  <c r="AK151" i="4"/>
  <c r="AC151" i="4"/>
  <c r="AK157" i="4"/>
  <c r="AC157" i="4"/>
  <c r="Z157" i="4"/>
  <c r="AI157" i="4"/>
  <c r="AA151" i="4"/>
  <c r="AJ151" i="4"/>
  <c r="AA157" i="4"/>
  <c r="AI151" i="4"/>
  <c r="AH157" i="4"/>
  <c r="AB151" i="4"/>
  <c r="AD154" i="4"/>
  <c r="AE148" i="4"/>
  <c r="R20" i="4"/>
  <c r="AD20" i="4" s="1"/>
  <c r="Q15" i="4"/>
  <c r="AC15" i="4" s="1"/>
  <c r="O22" i="4"/>
  <c r="AA22" i="4" s="1"/>
  <c r="W23" i="4"/>
  <c r="AI23" i="4" s="1"/>
  <c r="S15" i="4"/>
  <c r="AE15" i="4" s="1"/>
  <c r="W15" i="4"/>
  <c r="AI15" i="4" s="1"/>
  <c r="S16" i="4"/>
  <c r="AE16" i="4" s="1"/>
  <c r="N9" i="4"/>
  <c r="Z9" i="4" s="1"/>
  <c r="O9" i="4"/>
  <c r="AA9" i="4" s="1"/>
  <c r="P9" i="4"/>
  <c r="AB9" i="4" s="1"/>
  <c r="Q9" i="4"/>
  <c r="AC9" i="4" s="1"/>
  <c r="R9" i="4"/>
  <c r="AD9" i="4" s="1"/>
  <c r="S9" i="4"/>
  <c r="AE9" i="4" s="1"/>
  <c r="T9" i="4"/>
  <c r="AF9" i="4" s="1"/>
  <c r="U9" i="4"/>
  <c r="AG9" i="4" s="1"/>
  <c r="V9" i="4"/>
  <c r="AH9" i="4" s="1"/>
  <c r="W9" i="4"/>
  <c r="AI9" i="4" s="1"/>
  <c r="X9" i="4"/>
  <c r="AJ9" i="4" s="1"/>
  <c r="Y9" i="4"/>
  <c r="AK9" i="4" s="1"/>
  <c r="N10" i="4"/>
  <c r="Z10" i="4" s="1"/>
  <c r="O10" i="4"/>
  <c r="AA10" i="4" s="1"/>
  <c r="P10" i="4"/>
  <c r="AB10" i="4" s="1"/>
  <c r="Q10" i="4"/>
  <c r="AC10" i="4" s="1"/>
  <c r="R10" i="4"/>
  <c r="AD10" i="4" s="1"/>
  <c r="S10" i="4"/>
  <c r="AE10" i="4" s="1"/>
  <c r="T10" i="4"/>
  <c r="AF10" i="4" s="1"/>
  <c r="U10" i="4"/>
  <c r="AG10" i="4" s="1"/>
  <c r="V10" i="4"/>
  <c r="AH10" i="4" s="1"/>
  <c r="W10" i="4"/>
  <c r="AI10" i="4" s="1"/>
  <c r="X10" i="4"/>
  <c r="AJ10" i="4" s="1"/>
  <c r="Y10" i="4"/>
  <c r="AK10" i="4" s="1"/>
  <c r="N11" i="4"/>
  <c r="Z11" i="4" s="1"/>
  <c r="O11" i="4"/>
  <c r="AA11" i="4" s="1"/>
  <c r="P11" i="4"/>
  <c r="AB11" i="4" s="1"/>
  <c r="Q11" i="4"/>
  <c r="AC11" i="4" s="1"/>
  <c r="R11" i="4"/>
  <c r="AD11" i="4" s="1"/>
  <c r="S11" i="4"/>
  <c r="AE11" i="4" s="1"/>
  <c r="T11" i="4"/>
  <c r="AF11" i="4" s="1"/>
  <c r="U11" i="4"/>
  <c r="AG11" i="4" s="1"/>
  <c r="V11" i="4"/>
  <c r="AH11" i="4" s="1"/>
  <c r="W11" i="4"/>
  <c r="AI11" i="4" s="1"/>
  <c r="X11" i="4"/>
  <c r="AJ11" i="4" s="1"/>
  <c r="Y11" i="4"/>
  <c r="AK11" i="4" s="1"/>
  <c r="N12" i="4"/>
  <c r="Z12" i="4" s="1"/>
  <c r="O12" i="4"/>
  <c r="AA12" i="4" s="1"/>
  <c r="P12" i="4"/>
  <c r="AB12" i="4" s="1"/>
  <c r="Q12" i="4"/>
  <c r="AC12" i="4" s="1"/>
  <c r="R12" i="4"/>
  <c r="AD12" i="4" s="1"/>
  <c r="S12" i="4"/>
  <c r="AE12" i="4" s="1"/>
  <c r="T12" i="4"/>
  <c r="AF12" i="4" s="1"/>
  <c r="U12" i="4"/>
  <c r="AG12" i="4" s="1"/>
  <c r="V12" i="4"/>
  <c r="AH12" i="4" s="1"/>
  <c r="W12" i="4"/>
  <c r="AI12" i="4" s="1"/>
  <c r="X12" i="4"/>
  <c r="AJ12" i="4" s="1"/>
  <c r="Y12" i="4"/>
  <c r="AK12" i="4" s="1"/>
  <c r="O8" i="4"/>
  <c r="AA8" i="4" s="1"/>
  <c r="P8" i="4"/>
  <c r="AB8" i="4" s="1"/>
  <c r="Q8" i="4"/>
  <c r="AC8" i="4" s="1"/>
  <c r="R8" i="4"/>
  <c r="AD8" i="4" s="1"/>
  <c r="S8" i="4"/>
  <c r="AE8" i="4" s="1"/>
  <c r="T8" i="4"/>
  <c r="AF8" i="4" s="1"/>
  <c r="U8" i="4"/>
  <c r="AG8" i="4" s="1"/>
  <c r="V8" i="4"/>
  <c r="AH8" i="4" s="1"/>
  <c r="W8" i="4"/>
  <c r="AI8" i="4" s="1"/>
  <c r="X8" i="4"/>
  <c r="AJ8" i="4" s="1"/>
  <c r="Y8" i="4"/>
  <c r="AK8" i="4" s="1"/>
  <c r="AA107" i="4" l="1"/>
  <c r="Q24" i="4"/>
  <c r="AC24" i="4" s="1"/>
  <c r="P22" i="4"/>
  <c r="AB22" i="4" s="1"/>
  <c r="N23" i="4"/>
  <c r="Z23" i="4" s="1"/>
  <c r="T23" i="4"/>
  <c r="AF23" i="4" s="1"/>
  <c r="S21" i="4"/>
  <c r="AE21" i="4" s="1"/>
  <c r="AC143" i="4"/>
  <c r="AC164" i="4" s="1"/>
  <c r="Z49" i="4"/>
  <c r="U23" i="4"/>
  <c r="AG23" i="4" s="1"/>
  <c r="N21" i="4"/>
  <c r="Z21" i="4" s="1"/>
  <c r="O23" i="4"/>
  <c r="AA23" i="4" s="1"/>
  <c r="R21" i="4"/>
  <c r="AD21" i="4" s="1"/>
  <c r="U21" i="4"/>
  <c r="AG21" i="4" s="1"/>
  <c r="V17" i="4"/>
  <c r="AH17" i="4" s="1"/>
  <c r="Y24" i="4"/>
  <c r="AK24" i="4" s="1"/>
  <c r="X22" i="4"/>
  <c r="AJ22" i="4" s="1"/>
  <c r="X20" i="4"/>
  <c r="AJ20" i="4" s="1"/>
  <c r="R17" i="4"/>
  <c r="AD17" i="4" s="1"/>
  <c r="T24" i="4"/>
  <c r="AF24" i="4" s="1"/>
  <c r="W22" i="4"/>
  <c r="AI22" i="4" s="1"/>
  <c r="U20" i="4"/>
  <c r="AG20" i="4" s="1"/>
  <c r="AE143" i="4"/>
  <c r="AE164" i="4" s="1"/>
  <c r="W16" i="4"/>
  <c r="AI16" i="4" s="1"/>
  <c r="R24" i="4"/>
  <c r="AD24" i="4" s="1"/>
  <c r="R22" i="4"/>
  <c r="AD22" i="4" s="1"/>
  <c r="T20" i="4"/>
  <c r="AF20" i="4" s="1"/>
  <c r="X24" i="4"/>
  <c r="AJ24" i="4" s="1"/>
  <c r="P24" i="4"/>
  <c r="AB24" i="4" s="1"/>
  <c r="S23" i="4"/>
  <c r="AE23" i="4" s="1"/>
  <c r="V22" i="4"/>
  <c r="AH22" i="4" s="1"/>
  <c r="Y21" i="4"/>
  <c r="AK21" i="4" s="1"/>
  <c r="Q21" i="4"/>
  <c r="AC21" i="4" s="1"/>
  <c r="S20" i="4"/>
  <c r="AE20" i="4" s="1"/>
  <c r="W24" i="4"/>
  <c r="AI24" i="4" s="1"/>
  <c r="O24" i="4"/>
  <c r="AA24" i="4" s="1"/>
  <c r="R23" i="4"/>
  <c r="AD23" i="4" s="1"/>
  <c r="U22" i="4"/>
  <c r="AG22" i="4" s="1"/>
  <c r="X21" i="4"/>
  <c r="AJ21" i="4" s="1"/>
  <c r="P21" i="4"/>
  <c r="AB21" i="4" s="1"/>
  <c r="Q20" i="4"/>
  <c r="AC20" i="4" s="1"/>
  <c r="V24" i="4"/>
  <c r="AH24" i="4" s="1"/>
  <c r="Y23" i="4"/>
  <c r="AK23" i="4" s="1"/>
  <c r="Q23" i="4"/>
  <c r="AC23" i="4" s="1"/>
  <c r="T22" i="4"/>
  <c r="AF22" i="4" s="1"/>
  <c r="W21" i="4"/>
  <c r="AI21" i="4" s="1"/>
  <c r="O21" i="4"/>
  <c r="AA21" i="4" s="1"/>
  <c r="P20" i="4"/>
  <c r="AB20" i="4" s="1"/>
  <c r="N24" i="4"/>
  <c r="Z24" i="4" s="1"/>
  <c r="U24" i="4"/>
  <c r="AG24" i="4" s="1"/>
  <c r="X23" i="4"/>
  <c r="AJ23" i="4" s="1"/>
  <c r="P23" i="4"/>
  <c r="AB23" i="4" s="1"/>
  <c r="S22" i="4"/>
  <c r="AE22" i="4" s="1"/>
  <c r="V21" i="4"/>
  <c r="AH21" i="4" s="1"/>
  <c r="Y20" i="4"/>
  <c r="AK20" i="4" s="1"/>
  <c r="N22" i="4"/>
  <c r="Z22" i="4" s="1"/>
  <c r="S24" i="4"/>
  <c r="AE24" i="4" s="1"/>
  <c r="V23" i="4"/>
  <c r="AH23" i="4" s="1"/>
  <c r="Y22" i="4"/>
  <c r="AK22" i="4" s="1"/>
  <c r="Q22" i="4"/>
  <c r="AC22" i="4" s="1"/>
  <c r="T21" i="4"/>
  <c r="AF21" i="4" s="1"/>
  <c r="W20" i="4"/>
  <c r="AI20" i="4" s="1"/>
  <c r="V20" i="4"/>
  <c r="AH20" i="4" s="1"/>
  <c r="U17" i="4"/>
  <c r="AG17" i="4" s="1"/>
  <c r="U16" i="4"/>
  <c r="AG16" i="4" s="1"/>
  <c r="V15" i="4"/>
  <c r="AH15" i="4" s="1"/>
  <c r="AE49" i="4"/>
  <c r="AH81" i="4"/>
  <c r="T17" i="4"/>
  <c r="AF17" i="4" s="1"/>
  <c r="T16" i="4"/>
  <c r="AF16" i="4" s="1"/>
  <c r="T15" i="4"/>
  <c r="AF15" i="4" s="1"/>
  <c r="O20" i="4"/>
  <c r="AA20" i="4" s="1"/>
  <c r="Q17" i="4"/>
  <c r="AC17" i="4" s="1"/>
  <c r="Q16" i="4"/>
  <c r="AC16" i="4" s="1"/>
  <c r="R15" i="4"/>
  <c r="AD15" i="4" s="1"/>
  <c r="N16" i="4"/>
  <c r="Z16" i="4" s="1"/>
  <c r="P17" i="4"/>
  <c r="AB17" i="4" s="1"/>
  <c r="P16" i="4"/>
  <c r="AB16" i="4" s="1"/>
  <c r="P15" i="4"/>
  <c r="AB15" i="4" s="1"/>
  <c r="AF143" i="4"/>
  <c r="AF164" i="4" s="1"/>
  <c r="AH143" i="4"/>
  <c r="AH164" i="4" s="1"/>
  <c r="Z81" i="4"/>
  <c r="Z65" i="4"/>
  <c r="Y17" i="4"/>
  <c r="AK17" i="4" s="1"/>
  <c r="Y16" i="4"/>
  <c r="AK16" i="4" s="1"/>
  <c r="O16" i="4"/>
  <c r="AA16" i="4" s="1"/>
  <c r="O15" i="4"/>
  <c r="AA15" i="4" s="1"/>
  <c r="AJ143" i="4"/>
  <c r="AJ164" i="4" s="1"/>
  <c r="AF49" i="4"/>
  <c r="AB65" i="4"/>
  <c r="X17" i="4"/>
  <c r="AJ17" i="4" s="1"/>
  <c r="X16" i="4"/>
  <c r="AJ16" i="4" s="1"/>
  <c r="X15" i="4"/>
  <c r="AJ15" i="4" s="1"/>
  <c r="AH107" i="4"/>
  <c r="AI65" i="4"/>
  <c r="Z107" i="4"/>
  <c r="AG107" i="4"/>
  <c r="AD107" i="4"/>
  <c r="AK107" i="4"/>
  <c r="AI81" i="4"/>
  <c r="AC49" i="4"/>
  <c r="AF107" i="4"/>
  <c r="AG7" i="4"/>
  <c r="AG5" i="4" s="1"/>
  <c r="AG162" i="4" s="1"/>
  <c r="AB81" i="4"/>
  <c r="AC107" i="4"/>
  <c r="AD49" i="4"/>
  <c r="AJ7" i="4"/>
  <c r="AJ5" i="4" s="1"/>
  <c r="AJ162" i="4" s="1"/>
  <c r="AJ107" i="4"/>
  <c r="AH49" i="4"/>
  <c r="AK7" i="4"/>
  <c r="AK5" i="4" s="1"/>
  <c r="AK162" i="4" s="1"/>
  <c r="AB107" i="4"/>
  <c r="AH7" i="4"/>
  <c r="AH5" i="4" s="1"/>
  <c r="AH162" i="4" s="1"/>
  <c r="Z5" i="4"/>
  <c r="AJ81" i="4"/>
  <c r="AE7" i="4"/>
  <c r="AE5" i="4" s="1"/>
  <c r="AE162" i="4" s="1"/>
  <c r="AJ49" i="4"/>
  <c r="AH65" i="4"/>
  <c r="AG65" i="4"/>
  <c r="AB7" i="4"/>
  <c r="AB5" i="4" s="1"/>
  <c r="AB162" i="4" s="1"/>
  <c r="AF65" i="4"/>
  <c r="AA7" i="4"/>
  <c r="AA5" i="4" s="1"/>
  <c r="AA162" i="4" s="1"/>
  <c r="AA81" i="4"/>
  <c r="AA65" i="4"/>
  <c r="AC81" i="4"/>
  <c r="AK49" i="4"/>
  <c r="AE81" i="4"/>
  <c r="AE65" i="4"/>
  <c r="AI7" i="4"/>
  <c r="AI5" i="4" s="1"/>
  <c r="AI162" i="4" s="1"/>
  <c r="AA49" i="4"/>
  <c r="AF7" i="4"/>
  <c r="AF5" i="4" s="1"/>
  <c r="AF162" i="4" s="1"/>
  <c r="AJ65" i="4"/>
  <c r="AF81" i="4"/>
  <c r="AE107" i="4"/>
  <c r="AD7" i="4"/>
  <c r="AD5" i="4" s="1"/>
  <c r="AD162" i="4" s="1"/>
  <c r="AG49" i="4"/>
  <c r="AC65" i="4"/>
  <c r="AC7" i="4"/>
  <c r="AC5" i="4" s="1"/>
  <c r="AC162" i="4" s="1"/>
  <c r="AG81" i="4"/>
  <c r="AB49" i="4"/>
  <c r="AK65" i="4"/>
  <c r="AI49" i="4"/>
  <c r="AD65" i="4"/>
  <c r="AD81" i="4"/>
  <c r="AK81" i="4"/>
  <c r="AK143" i="4"/>
  <c r="AK164" i="4" s="1"/>
  <c r="AD143" i="4"/>
  <c r="AD164" i="4" s="1"/>
  <c r="AB143" i="4"/>
  <c r="AB164" i="4" s="1"/>
  <c r="AA143" i="4"/>
  <c r="AA164" i="4" s="1"/>
  <c r="AG143" i="4"/>
  <c r="AG164" i="4" s="1"/>
  <c r="AI143" i="4"/>
  <c r="AI164" i="4" s="1"/>
  <c r="Z143" i="4"/>
  <c r="W17" i="4"/>
  <c r="AI17" i="4" s="1"/>
  <c r="O17" i="4"/>
  <c r="AA17" i="4" s="1"/>
  <c r="R16" i="4"/>
  <c r="AD16" i="4" s="1"/>
  <c r="U15" i="4"/>
  <c r="N17" i="4"/>
  <c r="Z17" i="4" s="1"/>
  <c r="S17" i="4"/>
  <c r="V16" i="4"/>
  <c r="Y15" i="4"/>
  <c r="Y157" i="4"/>
  <c r="X157" i="4"/>
  <c r="W157" i="4"/>
  <c r="V157" i="4"/>
  <c r="U157" i="4"/>
  <c r="T157" i="4"/>
  <c r="S157" i="4"/>
  <c r="R157" i="4"/>
  <c r="Q157" i="4"/>
  <c r="P157" i="4"/>
  <c r="O157" i="4"/>
  <c r="N157" i="4"/>
  <c r="Y154" i="4"/>
  <c r="X154" i="4"/>
  <c r="W154" i="4"/>
  <c r="V154" i="4"/>
  <c r="U154" i="4"/>
  <c r="T154" i="4"/>
  <c r="S154" i="4"/>
  <c r="R154" i="4"/>
  <c r="Q154" i="4"/>
  <c r="P154" i="4"/>
  <c r="O154" i="4"/>
  <c r="N154" i="4"/>
  <c r="Y151" i="4"/>
  <c r="X151" i="4"/>
  <c r="W151" i="4"/>
  <c r="V151" i="4"/>
  <c r="U151" i="4"/>
  <c r="T151" i="4"/>
  <c r="S151" i="4"/>
  <c r="R151" i="4"/>
  <c r="Q151" i="4"/>
  <c r="P151" i="4"/>
  <c r="O151" i="4"/>
  <c r="N151" i="4"/>
  <c r="Y148" i="4"/>
  <c r="X148" i="4"/>
  <c r="W148" i="4"/>
  <c r="V148" i="4"/>
  <c r="U148" i="4"/>
  <c r="T148" i="4"/>
  <c r="S148" i="4"/>
  <c r="R148" i="4"/>
  <c r="Q148" i="4"/>
  <c r="P148" i="4"/>
  <c r="O148" i="4"/>
  <c r="N148" i="4"/>
  <c r="Y145" i="4"/>
  <c r="X145" i="4"/>
  <c r="W145" i="4"/>
  <c r="V145" i="4"/>
  <c r="U145" i="4"/>
  <c r="T145" i="4"/>
  <c r="S145" i="4"/>
  <c r="R145" i="4"/>
  <c r="Q145" i="4"/>
  <c r="P145" i="4"/>
  <c r="O145" i="4"/>
  <c r="N145" i="4"/>
  <c r="Y124" i="4"/>
  <c r="X124" i="4"/>
  <c r="W124" i="4"/>
  <c r="V124" i="4"/>
  <c r="U124" i="4"/>
  <c r="T124" i="4"/>
  <c r="S124" i="4"/>
  <c r="R124" i="4"/>
  <c r="Q124" i="4"/>
  <c r="P124" i="4"/>
  <c r="O124" i="4"/>
  <c r="O130" i="4" s="1"/>
  <c r="N124" i="4"/>
  <c r="Y116" i="4"/>
  <c r="AK115" i="4" s="1"/>
  <c r="X116" i="4"/>
  <c r="W116" i="4"/>
  <c r="V116" i="4"/>
  <c r="U116" i="4"/>
  <c r="T116" i="4"/>
  <c r="S116" i="4"/>
  <c r="R116" i="4"/>
  <c r="Q116" i="4"/>
  <c r="P116" i="4"/>
  <c r="O116" i="4"/>
  <c r="N116" i="4"/>
  <c r="Y109" i="4"/>
  <c r="X109" i="4"/>
  <c r="W109" i="4"/>
  <c r="V109" i="4"/>
  <c r="U109" i="4"/>
  <c r="T109" i="4"/>
  <c r="S109" i="4"/>
  <c r="R109" i="4"/>
  <c r="Q109" i="4"/>
  <c r="P109" i="4"/>
  <c r="O109" i="4"/>
  <c r="N109" i="4"/>
  <c r="Y94" i="4"/>
  <c r="X94" i="4"/>
  <c r="W94" i="4"/>
  <c r="V94" i="4"/>
  <c r="U94" i="4"/>
  <c r="T94" i="4"/>
  <c r="S94" i="4"/>
  <c r="R94" i="4"/>
  <c r="Q94" i="4"/>
  <c r="P94" i="4"/>
  <c r="O94" i="4"/>
  <c r="N94" i="4"/>
  <c r="Y91" i="4"/>
  <c r="X91" i="4"/>
  <c r="W91" i="4"/>
  <c r="V91" i="4"/>
  <c r="U91" i="4"/>
  <c r="T91" i="4"/>
  <c r="S91" i="4"/>
  <c r="R91" i="4"/>
  <c r="Q91" i="4"/>
  <c r="P91" i="4"/>
  <c r="O91" i="4"/>
  <c r="N91" i="4"/>
  <c r="Y88" i="4"/>
  <c r="X88" i="4"/>
  <c r="W88" i="4"/>
  <c r="V88" i="4"/>
  <c r="U88" i="4"/>
  <c r="T88" i="4"/>
  <c r="S88" i="4"/>
  <c r="R88" i="4"/>
  <c r="Q88" i="4"/>
  <c r="P88" i="4"/>
  <c r="O88" i="4"/>
  <c r="N88" i="4"/>
  <c r="Y85" i="4"/>
  <c r="X85" i="4"/>
  <c r="W85" i="4"/>
  <c r="V85" i="4"/>
  <c r="U85" i="4"/>
  <c r="T85" i="4"/>
  <c r="S85" i="4"/>
  <c r="R85" i="4"/>
  <c r="Q85" i="4"/>
  <c r="P85" i="4"/>
  <c r="O85" i="4"/>
  <c r="N85" i="4"/>
  <c r="Y82" i="4"/>
  <c r="X82" i="4"/>
  <c r="W82" i="4"/>
  <c r="V82" i="4"/>
  <c r="U82" i="4"/>
  <c r="T82" i="4"/>
  <c r="S82" i="4"/>
  <c r="R82" i="4"/>
  <c r="Q82" i="4"/>
  <c r="P82" i="4"/>
  <c r="O82" i="4"/>
  <c r="N82" i="4"/>
  <c r="Y78" i="4"/>
  <c r="X78" i="4"/>
  <c r="W78" i="4"/>
  <c r="V78" i="4"/>
  <c r="U78" i="4"/>
  <c r="T78" i="4"/>
  <c r="S78" i="4"/>
  <c r="R78" i="4"/>
  <c r="Q78" i="4"/>
  <c r="P78" i="4"/>
  <c r="O78" i="4"/>
  <c r="N78" i="4"/>
  <c r="Y75" i="4"/>
  <c r="X75" i="4"/>
  <c r="W75" i="4"/>
  <c r="V75" i="4"/>
  <c r="U75" i="4"/>
  <c r="T75" i="4"/>
  <c r="S75" i="4"/>
  <c r="R75" i="4"/>
  <c r="Q75" i="4"/>
  <c r="P75" i="4"/>
  <c r="O75" i="4"/>
  <c r="N75" i="4"/>
  <c r="Y72" i="4"/>
  <c r="X72" i="4"/>
  <c r="W72" i="4"/>
  <c r="V72" i="4"/>
  <c r="U72" i="4"/>
  <c r="T72" i="4"/>
  <c r="S72" i="4"/>
  <c r="R72" i="4"/>
  <c r="Q72" i="4"/>
  <c r="P72" i="4"/>
  <c r="O72" i="4"/>
  <c r="N72" i="4"/>
  <c r="Y69" i="4"/>
  <c r="X69" i="4"/>
  <c r="W69" i="4"/>
  <c r="V69" i="4"/>
  <c r="U69" i="4"/>
  <c r="T69" i="4"/>
  <c r="S69" i="4"/>
  <c r="R69" i="4"/>
  <c r="Q69" i="4"/>
  <c r="P69" i="4"/>
  <c r="O69" i="4"/>
  <c r="N69" i="4"/>
  <c r="Y66" i="4"/>
  <c r="X66" i="4"/>
  <c r="W66" i="4"/>
  <c r="V66" i="4"/>
  <c r="U66" i="4"/>
  <c r="T66" i="4"/>
  <c r="S66" i="4"/>
  <c r="R66" i="4"/>
  <c r="Q66" i="4"/>
  <c r="P66" i="4"/>
  <c r="O66" i="4"/>
  <c r="N66" i="4"/>
  <c r="Y62" i="4"/>
  <c r="X62" i="4"/>
  <c r="W62" i="4"/>
  <c r="V62" i="4"/>
  <c r="U62" i="4"/>
  <c r="T62" i="4"/>
  <c r="S62" i="4"/>
  <c r="R62" i="4"/>
  <c r="Q62" i="4"/>
  <c r="P62" i="4"/>
  <c r="O62" i="4"/>
  <c r="N62" i="4"/>
  <c r="Y59" i="4"/>
  <c r="X59" i="4"/>
  <c r="W59" i="4"/>
  <c r="V59" i="4"/>
  <c r="U59" i="4"/>
  <c r="T59" i="4"/>
  <c r="R59" i="4"/>
  <c r="Q59" i="4"/>
  <c r="P59" i="4"/>
  <c r="O59" i="4"/>
  <c r="N59" i="4"/>
  <c r="Y56" i="4"/>
  <c r="X56" i="4"/>
  <c r="W56" i="4"/>
  <c r="V56" i="4"/>
  <c r="U56" i="4"/>
  <c r="S56" i="4"/>
  <c r="R56" i="4"/>
  <c r="Q56" i="4"/>
  <c r="P56" i="4"/>
  <c r="O56" i="4"/>
  <c r="N56" i="4"/>
  <c r="Y53" i="4"/>
  <c r="X53" i="4"/>
  <c r="W53" i="4"/>
  <c r="V53" i="4"/>
  <c r="U53" i="4"/>
  <c r="T53" i="4"/>
  <c r="S53" i="4"/>
  <c r="R53" i="4"/>
  <c r="Q53" i="4"/>
  <c r="P53" i="4"/>
  <c r="O53" i="4"/>
  <c r="N53" i="4"/>
  <c r="Y50" i="4"/>
  <c r="X50" i="4"/>
  <c r="W50" i="4"/>
  <c r="V50" i="4"/>
  <c r="U50" i="4"/>
  <c r="T50" i="4"/>
  <c r="S50" i="4"/>
  <c r="R50" i="4"/>
  <c r="Q50" i="4"/>
  <c r="P50" i="4"/>
  <c r="O50" i="4"/>
  <c r="N50" i="4"/>
  <c r="X26" i="4"/>
  <c r="W26" i="4"/>
  <c r="V26" i="4"/>
  <c r="U26" i="4"/>
  <c r="T26" i="4"/>
  <c r="S26" i="4"/>
  <c r="R26" i="4"/>
  <c r="Q26" i="4"/>
  <c r="P26" i="4"/>
  <c r="O26" i="4"/>
  <c r="N26" i="4"/>
  <c r="Y7" i="4"/>
  <c r="Y5" i="4" s="1"/>
  <c r="Y162" i="4" s="1"/>
  <c r="X7" i="4"/>
  <c r="X5" i="4" s="1"/>
  <c r="X162" i="4" s="1"/>
  <c r="W7" i="4"/>
  <c r="W5" i="4" s="1"/>
  <c r="W162" i="4" s="1"/>
  <c r="V7" i="4"/>
  <c r="V5" i="4" s="1"/>
  <c r="V162" i="4" s="1"/>
  <c r="U7" i="4"/>
  <c r="U5" i="4" s="1"/>
  <c r="U162" i="4" s="1"/>
  <c r="T7" i="4"/>
  <c r="T5" i="4" s="1"/>
  <c r="T162" i="4" s="1"/>
  <c r="S7" i="4"/>
  <c r="S5" i="4" s="1"/>
  <c r="S162" i="4" s="1"/>
  <c r="R7" i="4"/>
  <c r="R5" i="4" s="1"/>
  <c r="R162" i="4" s="1"/>
  <c r="Q7" i="4"/>
  <c r="Q5" i="4" s="1"/>
  <c r="Q162" i="4" s="1"/>
  <c r="P7" i="4"/>
  <c r="P5" i="4" s="1"/>
  <c r="P162" i="4" s="1"/>
  <c r="O7" i="4"/>
  <c r="O5" i="4" s="1"/>
  <c r="O162" i="4" s="1"/>
  <c r="N5" i="4"/>
  <c r="F111" i="3"/>
  <c r="G111" i="3"/>
  <c r="H111" i="3"/>
  <c r="I111" i="3"/>
  <c r="J111" i="3"/>
  <c r="K111" i="3"/>
  <c r="L111" i="3"/>
  <c r="M111" i="3"/>
  <c r="N111" i="3"/>
  <c r="O111" i="3"/>
  <c r="P111" i="3"/>
  <c r="E111" i="3"/>
  <c r="F110" i="3"/>
  <c r="G110" i="3"/>
  <c r="H110" i="3"/>
  <c r="I110" i="3"/>
  <c r="J110" i="3"/>
  <c r="K110" i="3"/>
  <c r="L110" i="3"/>
  <c r="M110" i="3"/>
  <c r="N110" i="3"/>
  <c r="O110" i="3"/>
  <c r="P110" i="3"/>
  <c r="E110" i="3"/>
  <c r="F107" i="3"/>
  <c r="G107" i="3"/>
  <c r="H107" i="3"/>
  <c r="I107" i="3"/>
  <c r="J107" i="3"/>
  <c r="K107" i="3"/>
  <c r="L107" i="3"/>
  <c r="M107" i="3"/>
  <c r="N107" i="3"/>
  <c r="O107" i="3"/>
  <c r="P107" i="3"/>
  <c r="E107" i="3"/>
  <c r="F106" i="3"/>
  <c r="G106" i="3"/>
  <c r="H106" i="3"/>
  <c r="I106" i="3"/>
  <c r="J106" i="3"/>
  <c r="K106" i="3"/>
  <c r="L106" i="3"/>
  <c r="M106" i="3"/>
  <c r="N106" i="3"/>
  <c r="O106" i="3"/>
  <c r="P106" i="3"/>
  <c r="E106" i="3"/>
  <c r="F103" i="3"/>
  <c r="G103" i="3"/>
  <c r="H103" i="3"/>
  <c r="I103" i="3"/>
  <c r="J103" i="3"/>
  <c r="K103" i="3"/>
  <c r="L103" i="3"/>
  <c r="M103" i="3"/>
  <c r="N103" i="3"/>
  <c r="O103" i="3"/>
  <c r="P103" i="3"/>
  <c r="E103" i="3"/>
  <c r="F102" i="3"/>
  <c r="G102" i="3"/>
  <c r="H102" i="3"/>
  <c r="I102" i="3"/>
  <c r="J102" i="3"/>
  <c r="K102" i="3"/>
  <c r="L102" i="3"/>
  <c r="M102" i="3"/>
  <c r="N102" i="3"/>
  <c r="O102" i="3"/>
  <c r="P102" i="3"/>
  <c r="E102" i="3"/>
  <c r="F99" i="3"/>
  <c r="G99" i="3"/>
  <c r="H99" i="3"/>
  <c r="I99" i="3"/>
  <c r="J99" i="3"/>
  <c r="K99" i="3"/>
  <c r="L99" i="3"/>
  <c r="M99" i="3"/>
  <c r="N99" i="3"/>
  <c r="O99" i="3"/>
  <c r="P99" i="3"/>
  <c r="E99" i="3"/>
  <c r="F98" i="3"/>
  <c r="G98" i="3"/>
  <c r="H98" i="3"/>
  <c r="I98" i="3"/>
  <c r="J98" i="3"/>
  <c r="K98" i="3"/>
  <c r="L98" i="3"/>
  <c r="M98" i="3"/>
  <c r="N98" i="3"/>
  <c r="O98" i="3"/>
  <c r="P98" i="3"/>
  <c r="E98" i="3"/>
  <c r="F95" i="3"/>
  <c r="G95" i="3"/>
  <c r="H95" i="3"/>
  <c r="I95" i="3"/>
  <c r="J95" i="3"/>
  <c r="K95" i="3"/>
  <c r="L95" i="3"/>
  <c r="M95" i="3"/>
  <c r="N95" i="3"/>
  <c r="O95" i="3"/>
  <c r="P95" i="3"/>
  <c r="E95" i="3"/>
  <c r="F94" i="3"/>
  <c r="G94" i="3"/>
  <c r="H94" i="3"/>
  <c r="I94" i="3"/>
  <c r="J94" i="3"/>
  <c r="K94" i="3"/>
  <c r="L94" i="3"/>
  <c r="M94" i="3"/>
  <c r="N94" i="3"/>
  <c r="O94" i="3"/>
  <c r="P94" i="3"/>
  <c r="E94" i="3"/>
  <c r="M157" i="4"/>
  <c r="L157" i="4"/>
  <c r="K157" i="4"/>
  <c r="J157" i="4"/>
  <c r="I157" i="4"/>
  <c r="H157" i="4"/>
  <c r="G157" i="4"/>
  <c r="F157" i="4"/>
  <c r="E157" i="4"/>
  <c r="D157" i="4"/>
  <c r="C157" i="4"/>
  <c r="B157" i="4"/>
  <c r="M154" i="4"/>
  <c r="L154" i="4"/>
  <c r="K154" i="4"/>
  <c r="J154" i="4"/>
  <c r="I154" i="4"/>
  <c r="H154" i="4"/>
  <c r="G154" i="4"/>
  <c r="F154" i="4"/>
  <c r="E154" i="4"/>
  <c r="D154" i="4"/>
  <c r="C154" i="4"/>
  <c r="B154" i="4"/>
  <c r="M151" i="4"/>
  <c r="L151" i="4"/>
  <c r="K151" i="4"/>
  <c r="J151" i="4"/>
  <c r="I151" i="4"/>
  <c r="H151" i="4"/>
  <c r="G151" i="4"/>
  <c r="F151" i="4"/>
  <c r="E151" i="4"/>
  <c r="D151" i="4"/>
  <c r="C151" i="4"/>
  <c r="B151" i="4"/>
  <c r="M148" i="4"/>
  <c r="L148" i="4"/>
  <c r="K148" i="4"/>
  <c r="J148" i="4"/>
  <c r="I148" i="4"/>
  <c r="H148" i="4"/>
  <c r="G148" i="4"/>
  <c r="F148" i="4"/>
  <c r="E148" i="4"/>
  <c r="D148" i="4"/>
  <c r="C148" i="4"/>
  <c r="B148" i="4"/>
  <c r="M145" i="4"/>
  <c r="L145" i="4"/>
  <c r="K145" i="4"/>
  <c r="J145" i="4"/>
  <c r="I145" i="4"/>
  <c r="H145" i="4"/>
  <c r="G145" i="4"/>
  <c r="F145" i="4"/>
  <c r="E145" i="4"/>
  <c r="D145" i="4"/>
  <c r="C145" i="4"/>
  <c r="B145" i="4"/>
  <c r="M124" i="4"/>
  <c r="L124" i="4"/>
  <c r="K124" i="4"/>
  <c r="J124" i="4"/>
  <c r="I124" i="4"/>
  <c r="H124" i="4"/>
  <c r="G124" i="4"/>
  <c r="F124" i="4"/>
  <c r="E124" i="4"/>
  <c r="D124" i="4"/>
  <c r="C124" i="4"/>
  <c r="B124" i="4"/>
  <c r="M116" i="4"/>
  <c r="L116" i="4"/>
  <c r="K116" i="4"/>
  <c r="J116" i="4"/>
  <c r="I116" i="4"/>
  <c r="H116" i="4"/>
  <c r="G116" i="4"/>
  <c r="F116" i="4"/>
  <c r="E116" i="4"/>
  <c r="D116" i="4"/>
  <c r="C116" i="4"/>
  <c r="B116" i="4"/>
  <c r="M109" i="4"/>
  <c r="L109" i="4"/>
  <c r="K109" i="4"/>
  <c r="J109" i="4"/>
  <c r="I109" i="4"/>
  <c r="H109" i="4"/>
  <c r="G109" i="4"/>
  <c r="F109" i="4"/>
  <c r="E109" i="4"/>
  <c r="D109" i="4"/>
  <c r="C109" i="4"/>
  <c r="B109" i="4"/>
  <c r="M94" i="4"/>
  <c r="L94" i="4"/>
  <c r="K94" i="4"/>
  <c r="J94" i="4"/>
  <c r="I94" i="4"/>
  <c r="H94" i="4"/>
  <c r="G94" i="4"/>
  <c r="F94" i="4"/>
  <c r="E94" i="4"/>
  <c r="D94" i="4"/>
  <c r="C94" i="4"/>
  <c r="B94" i="4"/>
  <c r="M91" i="4"/>
  <c r="L91" i="4"/>
  <c r="K91" i="4"/>
  <c r="J91" i="4"/>
  <c r="I91" i="4"/>
  <c r="H91" i="4"/>
  <c r="G91" i="4"/>
  <c r="F91" i="4"/>
  <c r="E91" i="4"/>
  <c r="D91" i="4"/>
  <c r="C91" i="4"/>
  <c r="B91" i="4"/>
  <c r="M88" i="4"/>
  <c r="L88" i="4"/>
  <c r="K88" i="4"/>
  <c r="J88" i="4"/>
  <c r="I88" i="4"/>
  <c r="H88" i="4"/>
  <c r="G88" i="4"/>
  <c r="F88" i="4"/>
  <c r="E88" i="4"/>
  <c r="D88" i="4"/>
  <c r="C88" i="4"/>
  <c r="B88" i="4"/>
  <c r="M85" i="4"/>
  <c r="L85" i="4"/>
  <c r="K85" i="4"/>
  <c r="J85" i="4"/>
  <c r="I85" i="4"/>
  <c r="H85" i="4"/>
  <c r="G85" i="4"/>
  <c r="F85" i="4"/>
  <c r="E85" i="4"/>
  <c r="D85" i="4"/>
  <c r="C85" i="4"/>
  <c r="B85" i="4"/>
  <c r="M82" i="4"/>
  <c r="L82" i="4"/>
  <c r="K82" i="4"/>
  <c r="J82" i="4"/>
  <c r="I82" i="4"/>
  <c r="H82" i="4"/>
  <c r="G82" i="4"/>
  <c r="F82" i="4"/>
  <c r="E82" i="4"/>
  <c r="D82" i="4"/>
  <c r="C82" i="4"/>
  <c r="B82" i="4"/>
  <c r="M78" i="4"/>
  <c r="L78" i="4"/>
  <c r="K78" i="4"/>
  <c r="J78" i="4"/>
  <c r="I78" i="4"/>
  <c r="H78" i="4"/>
  <c r="G78" i="4"/>
  <c r="F78" i="4"/>
  <c r="E78" i="4"/>
  <c r="D78" i="4"/>
  <c r="C78" i="4"/>
  <c r="B78" i="4"/>
  <c r="M75" i="4"/>
  <c r="L75" i="4"/>
  <c r="K75" i="4"/>
  <c r="J75" i="4"/>
  <c r="I75" i="4"/>
  <c r="H75" i="4"/>
  <c r="G75" i="4"/>
  <c r="F75" i="4"/>
  <c r="E75" i="4"/>
  <c r="D75" i="4"/>
  <c r="C75" i="4"/>
  <c r="B75" i="4"/>
  <c r="M72" i="4"/>
  <c r="L72" i="4"/>
  <c r="K72" i="4"/>
  <c r="J72" i="4"/>
  <c r="I72" i="4"/>
  <c r="H72" i="4"/>
  <c r="G72" i="4"/>
  <c r="F72" i="4"/>
  <c r="E72" i="4"/>
  <c r="D72" i="4"/>
  <c r="C72" i="4"/>
  <c r="B72" i="4"/>
  <c r="M69" i="4"/>
  <c r="L69" i="4"/>
  <c r="K69" i="4"/>
  <c r="J69" i="4"/>
  <c r="I69" i="4"/>
  <c r="H69" i="4"/>
  <c r="G69" i="4"/>
  <c r="F69" i="4"/>
  <c r="E69" i="4"/>
  <c r="D69" i="4"/>
  <c r="C69" i="4"/>
  <c r="B69" i="4"/>
  <c r="M66" i="4"/>
  <c r="L66" i="4"/>
  <c r="K66" i="4"/>
  <c r="J66" i="4"/>
  <c r="I66" i="4"/>
  <c r="H66" i="4"/>
  <c r="G66" i="4"/>
  <c r="F66" i="4"/>
  <c r="E66" i="4"/>
  <c r="D66" i="4"/>
  <c r="C66" i="4"/>
  <c r="B66" i="4"/>
  <c r="M62" i="4"/>
  <c r="L62" i="4"/>
  <c r="K62" i="4"/>
  <c r="J62" i="4"/>
  <c r="I62" i="4"/>
  <c r="H62" i="4"/>
  <c r="G62" i="4"/>
  <c r="F62" i="4"/>
  <c r="E62" i="4"/>
  <c r="D62" i="4"/>
  <c r="C62" i="4"/>
  <c r="B62" i="4"/>
  <c r="M59" i="4"/>
  <c r="L59" i="4"/>
  <c r="K59" i="4"/>
  <c r="J59" i="4"/>
  <c r="I59" i="4"/>
  <c r="H59" i="4"/>
  <c r="F59" i="4"/>
  <c r="E59" i="4"/>
  <c r="D59" i="4"/>
  <c r="C59" i="4"/>
  <c r="B59" i="4"/>
  <c r="M56" i="4"/>
  <c r="L56" i="4"/>
  <c r="K56" i="4"/>
  <c r="J56" i="4"/>
  <c r="I56" i="4"/>
  <c r="G56" i="4"/>
  <c r="F56" i="4"/>
  <c r="E56" i="4"/>
  <c r="D56" i="4"/>
  <c r="C56" i="4"/>
  <c r="B56" i="4"/>
  <c r="M53" i="4"/>
  <c r="L53" i="4"/>
  <c r="K53" i="4"/>
  <c r="J53" i="4"/>
  <c r="I53" i="4"/>
  <c r="H53" i="4"/>
  <c r="G53" i="4"/>
  <c r="F53" i="4"/>
  <c r="E53" i="4"/>
  <c r="D53" i="4"/>
  <c r="C53" i="4"/>
  <c r="B53" i="4"/>
  <c r="M50" i="4"/>
  <c r="L50" i="4"/>
  <c r="K50" i="4"/>
  <c r="J50" i="4"/>
  <c r="I50" i="4"/>
  <c r="H50" i="4"/>
  <c r="G50" i="4"/>
  <c r="F50" i="4"/>
  <c r="E50" i="4"/>
  <c r="D50" i="4"/>
  <c r="C50" i="4"/>
  <c r="B50" i="4"/>
  <c r="Y45" i="4"/>
  <c r="AK45" i="4" s="1"/>
  <c r="X45" i="4"/>
  <c r="AJ45" i="4" s="1"/>
  <c r="W45" i="4"/>
  <c r="AI45" i="4" s="1"/>
  <c r="V45" i="4"/>
  <c r="AH45" i="4" s="1"/>
  <c r="U45" i="4"/>
  <c r="AG45" i="4" s="1"/>
  <c r="T45" i="4"/>
  <c r="AF45" i="4" s="1"/>
  <c r="S45" i="4"/>
  <c r="AE45" i="4" s="1"/>
  <c r="R45" i="4"/>
  <c r="AD45" i="4" s="1"/>
  <c r="Q45" i="4"/>
  <c r="AC45" i="4" s="1"/>
  <c r="P45" i="4"/>
  <c r="AB45" i="4" s="1"/>
  <c r="O45" i="4"/>
  <c r="AA45" i="4" s="1"/>
  <c r="N45" i="4"/>
  <c r="Z45" i="4" s="1"/>
  <c r="Y44" i="4"/>
  <c r="AK44" i="4" s="1"/>
  <c r="X44" i="4"/>
  <c r="AJ44" i="4" s="1"/>
  <c r="W44" i="4"/>
  <c r="V44" i="4"/>
  <c r="U44" i="4"/>
  <c r="T44" i="4"/>
  <c r="S44" i="4"/>
  <c r="R44" i="4"/>
  <c r="AD44" i="4" s="1"/>
  <c r="Q44" i="4"/>
  <c r="AC44" i="4" s="1"/>
  <c r="P44" i="4"/>
  <c r="AB44" i="4" s="1"/>
  <c r="O44" i="4"/>
  <c r="N44" i="4"/>
  <c r="Y42" i="4"/>
  <c r="AK42" i="4" s="1"/>
  <c r="X42" i="4"/>
  <c r="AJ42" i="4" s="1"/>
  <c r="W42" i="4"/>
  <c r="AI42" i="4" s="1"/>
  <c r="V42" i="4"/>
  <c r="AH42" i="4" s="1"/>
  <c r="U42" i="4"/>
  <c r="AG42" i="4" s="1"/>
  <c r="T42" i="4"/>
  <c r="AF42" i="4" s="1"/>
  <c r="S42" i="4"/>
  <c r="AE42" i="4" s="1"/>
  <c r="R42" i="4"/>
  <c r="AD42" i="4" s="1"/>
  <c r="Q42" i="4"/>
  <c r="AC42" i="4" s="1"/>
  <c r="P42" i="4"/>
  <c r="AB42" i="4" s="1"/>
  <c r="O42" i="4"/>
  <c r="AA42" i="4" s="1"/>
  <c r="N42" i="4"/>
  <c r="Z42" i="4" s="1"/>
  <c r="Y41" i="4"/>
  <c r="AK41" i="4" s="1"/>
  <c r="X41" i="4"/>
  <c r="AJ41" i="4" s="1"/>
  <c r="W41" i="4"/>
  <c r="AI41" i="4" s="1"/>
  <c r="V41" i="4"/>
  <c r="U41" i="4"/>
  <c r="T41" i="4"/>
  <c r="S41" i="4"/>
  <c r="Q41" i="4"/>
  <c r="AC41" i="4" s="1"/>
  <c r="P41" i="4"/>
  <c r="AB41" i="4" s="1"/>
  <c r="O41" i="4"/>
  <c r="N41" i="4"/>
  <c r="Y39" i="4"/>
  <c r="AK39" i="4" s="1"/>
  <c r="X39" i="4"/>
  <c r="AJ39" i="4" s="1"/>
  <c r="W39" i="4"/>
  <c r="AI39" i="4" s="1"/>
  <c r="V39" i="4"/>
  <c r="AH39" i="4" s="1"/>
  <c r="U39" i="4"/>
  <c r="AG39" i="4" s="1"/>
  <c r="T39" i="4"/>
  <c r="AF39" i="4" s="1"/>
  <c r="S39" i="4"/>
  <c r="AE39" i="4" s="1"/>
  <c r="R39" i="4"/>
  <c r="AD39" i="4" s="1"/>
  <c r="Q39" i="4"/>
  <c r="AC39" i="4" s="1"/>
  <c r="P39" i="4"/>
  <c r="AB39" i="4" s="1"/>
  <c r="O39" i="4"/>
  <c r="AA39" i="4" s="1"/>
  <c r="N39" i="4"/>
  <c r="Z39" i="4" s="1"/>
  <c r="Y38" i="4"/>
  <c r="AK38" i="4" s="1"/>
  <c r="X38" i="4"/>
  <c r="AJ38" i="4" s="1"/>
  <c r="W38" i="4"/>
  <c r="V38" i="4"/>
  <c r="U38" i="4"/>
  <c r="T38" i="4"/>
  <c r="S38" i="4"/>
  <c r="R38" i="4"/>
  <c r="AD38" i="4" s="1"/>
  <c r="Q38" i="4"/>
  <c r="AC38" i="4" s="1"/>
  <c r="P38" i="4"/>
  <c r="AB38" i="4" s="1"/>
  <c r="O38" i="4"/>
  <c r="N38" i="4"/>
  <c r="Y36" i="4"/>
  <c r="AK36" i="4" s="1"/>
  <c r="X36" i="4"/>
  <c r="AJ36" i="4" s="1"/>
  <c r="W36" i="4"/>
  <c r="AI36" i="4" s="1"/>
  <c r="V36" i="4"/>
  <c r="AH36" i="4" s="1"/>
  <c r="U36" i="4"/>
  <c r="AG36" i="4" s="1"/>
  <c r="T36" i="4"/>
  <c r="AF36" i="4" s="1"/>
  <c r="S36" i="4"/>
  <c r="AE36" i="4" s="1"/>
  <c r="R36" i="4"/>
  <c r="AD36" i="4" s="1"/>
  <c r="Q36" i="4"/>
  <c r="AC36" i="4" s="1"/>
  <c r="P36" i="4"/>
  <c r="AB36" i="4" s="1"/>
  <c r="O36" i="4"/>
  <c r="AA36" i="4" s="1"/>
  <c r="N36" i="4"/>
  <c r="Z36" i="4" s="1"/>
  <c r="Y35" i="4"/>
  <c r="AK35" i="4" s="1"/>
  <c r="X35" i="4"/>
  <c r="AJ35" i="4" s="1"/>
  <c r="W35" i="4"/>
  <c r="AI35" i="4" s="1"/>
  <c r="V35" i="4"/>
  <c r="U35" i="4"/>
  <c r="T35" i="4"/>
  <c r="S35" i="4"/>
  <c r="R35" i="4"/>
  <c r="AD35" i="4" s="1"/>
  <c r="Q35" i="4"/>
  <c r="AC35" i="4" s="1"/>
  <c r="P35" i="4"/>
  <c r="AB35" i="4" s="1"/>
  <c r="O35" i="4"/>
  <c r="AA35" i="4" s="1"/>
  <c r="AA34" i="4" s="1"/>
  <c r="N35" i="4"/>
  <c r="Y33" i="4"/>
  <c r="AK33" i="4" s="1"/>
  <c r="X33" i="4"/>
  <c r="AJ33" i="4" s="1"/>
  <c r="V33" i="4"/>
  <c r="AH33" i="4" s="1"/>
  <c r="U33" i="4"/>
  <c r="AG33" i="4" s="1"/>
  <c r="T33" i="4"/>
  <c r="AF33" i="4" s="1"/>
  <c r="S33" i="4"/>
  <c r="AE33" i="4" s="1"/>
  <c r="R33" i="4"/>
  <c r="AD33" i="4" s="1"/>
  <c r="Q33" i="4"/>
  <c r="AC33" i="4" s="1"/>
  <c r="P33" i="4"/>
  <c r="AB33" i="4" s="1"/>
  <c r="N33" i="4"/>
  <c r="Z33" i="4" s="1"/>
  <c r="Y32" i="4"/>
  <c r="AK32" i="4" s="1"/>
  <c r="X32" i="4"/>
  <c r="AJ32" i="4" s="1"/>
  <c r="W32" i="4"/>
  <c r="AI32" i="4" s="1"/>
  <c r="V32" i="4"/>
  <c r="U32" i="4"/>
  <c r="T32" i="4"/>
  <c r="R32" i="4"/>
  <c r="AD32" i="4" s="1"/>
  <c r="Q32" i="4"/>
  <c r="AC32" i="4" s="1"/>
  <c r="P32" i="4"/>
  <c r="AB32" i="4" s="1"/>
  <c r="O32" i="4"/>
  <c r="AA32" i="4" s="1"/>
  <c r="N32" i="4"/>
  <c r="Z32" i="4" s="1"/>
  <c r="M19" i="4"/>
  <c r="L19" i="4"/>
  <c r="K19" i="4"/>
  <c r="J19" i="4"/>
  <c r="I19" i="4"/>
  <c r="H19" i="4"/>
  <c r="G19" i="4"/>
  <c r="F19" i="4"/>
  <c r="E19" i="4"/>
  <c r="D19" i="4"/>
  <c r="C19" i="4"/>
  <c r="B19" i="4"/>
  <c r="M14" i="4"/>
  <c r="L14" i="4"/>
  <c r="K14" i="4"/>
  <c r="J14" i="4"/>
  <c r="I14" i="4"/>
  <c r="H14" i="4"/>
  <c r="G14" i="4"/>
  <c r="F14" i="4"/>
  <c r="E14" i="4"/>
  <c r="D14" i="4"/>
  <c r="C14" i="4"/>
  <c r="B14" i="4"/>
  <c r="M7" i="4"/>
  <c r="M5" i="4" s="1"/>
  <c r="M162" i="4" s="1"/>
  <c r="L7" i="4"/>
  <c r="L5" i="4" s="1"/>
  <c r="L162" i="4" s="1"/>
  <c r="K7" i="4"/>
  <c r="K5" i="4" s="1"/>
  <c r="K162" i="4" s="1"/>
  <c r="J7" i="4"/>
  <c r="J5" i="4" s="1"/>
  <c r="J162" i="4" s="1"/>
  <c r="I7" i="4"/>
  <c r="I5" i="4" s="1"/>
  <c r="I162" i="4" s="1"/>
  <c r="H7" i="4"/>
  <c r="H5" i="4" s="1"/>
  <c r="H162" i="4" s="1"/>
  <c r="G7" i="4"/>
  <c r="G5" i="4" s="1"/>
  <c r="G162" i="4" s="1"/>
  <c r="F7" i="4"/>
  <c r="F5" i="4" s="1"/>
  <c r="F162" i="4" s="1"/>
  <c r="E7" i="4"/>
  <c r="E5" i="4" s="1"/>
  <c r="E162" i="4" s="1"/>
  <c r="D7" i="4"/>
  <c r="D5" i="4" s="1"/>
  <c r="D162" i="4" s="1"/>
  <c r="C7" i="4"/>
  <c r="C5" i="4" s="1"/>
  <c r="C162" i="4" s="1"/>
  <c r="B7" i="4"/>
  <c r="B5" i="4" s="1"/>
  <c r="AF19" i="4" l="1"/>
  <c r="AD14" i="4"/>
  <c r="T19" i="4"/>
  <c r="AI34" i="4"/>
  <c r="AI102" i="4" s="1"/>
  <c r="AI40" i="4"/>
  <c r="AI104" i="4" s="1"/>
  <c r="AA19" i="4"/>
  <c r="AK19" i="4"/>
  <c r="AB19" i="4"/>
  <c r="AC19" i="4"/>
  <c r="Z48" i="4"/>
  <c r="AH167" i="4"/>
  <c r="AC167" i="4"/>
  <c r="AE167" i="4"/>
  <c r="V19" i="4"/>
  <c r="AD19" i="4"/>
  <c r="AJ19" i="4"/>
  <c r="AA102" i="4"/>
  <c r="O19" i="4"/>
  <c r="P19" i="4"/>
  <c r="AI14" i="4"/>
  <c r="Q19" i="4"/>
  <c r="AE19" i="4"/>
  <c r="Z19" i="4"/>
  <c r="Y19" i="4"/>
  <c r="AC14" i="4"/>
  <c r="X19" i="4"/>
  <c r="N19" i="4"/>
  <c r="AF167" i="4"/>
  <c r="AI48" i="4"/>
  <c r="AD167" i="4"/>
  <c r="AJ167" i="4"/>
  <c r="F107" i="4"/>
  <c r="R19" i="4"/>
  <c r="AI167" i="4"/>
  <c r="AH19" i="4"/>
  <c r="AG19" i="4"/>
  <c r="AI19" i="4"/>
  <c r="Z14" i="4"/>
  <c r="W19" i="4"/>
  <c r="S19" i="4"/>
  <c r="Q14" i="4"/>
  <c r="U19" i="4"/>
  <c r="AB48" i="4"/>
  <c r="T14" i="4"/>
  <c r="AJ14" i="4"/>
  <c r="AB14" i="4"/>
  <c r="AF14" i="4"/>
  <c r="N162" i="4"/>
  <c r="Y133" i="4"/>
  <c r="X14" i="4"/>
  <c r="AA14" i="4"/>
  <c r="AH48" i="4"/>
  <c r="AB167" i="4"/>
  <c r="O14" i="4"/>
  <c r="Z162" i="4"/>
  <c r="AK133" i="4"/>
  <c r="P14" i="4"/>
  <c r="T143" i="4"/>
  <c r="T164" i="4" s="1"/>
  <c r="T167" i="4" s="1"/>
  <c r="AK167" i="4"/>
  <c r="M133" i="4"/>
  <c r="B162" i="4"/>
  <c r="Z164" i="4"/>
  <c r="AK135" i="4"/>
  <c r="R14" i="4"/>
  <c r="AK106" i="4"/>
  <c r="AD31" i="4"/>
  <c r="AD101" i="4" s="1"/>
  <c r="AD34" i="4"/>
  <c r="AD102" i="4" s="1"/>
  <c r="AA48" i="4"/>
  <c r="T107" i="4"/>
  <c r="AC48" i="4"/>
  <c r="AE48" i="4"/>
  <c r="X107" i="4"/>
  <c r="AK48" i="4"/>
  <c r="AF48" i="4"/>
  <c r="AJ48" i="4"/>
  <c r="W14" i="4"/>
  <c r="S107" i="4"/>
  <c r="O107" i="4"/>
  <c r="W107" i="4"/>
  <c r="AA167" i="4"/>
  <c r="U14" i="4"/>
  <c r="AG15" i="4"/>
  <c r="AG14" i="4" s="1"/>
  <c r="N14" i="4"/>
  <c r="AD48" i="4"/>
  <c r="R81" i="4"/>
  <c r="Y107" i="4"/>
  <c r="Y106" i="4" s="1"/>
  <c r="AK108" i="4"/>
  <c r="Y14" i="4"/>
  <c r="AK15" i="4"/>
  <c r="AK14" i="4" s="1"/>
  <c r="V14" i="4"/>
  <c r="AH16" i="4"/>
  <c r="AH14" i="4" s="1"/>
  <c r="S14" i="4"/>
  <c r="AE17" i="4"/>
  <c r="AE14" i="4" s="1"/>
  <c r="AG48" i="4"/>
  <c r="T34" i="4"/>
  <c r="T102" i="4" s="1"/>
  <c r="AF35" i="4"/>
  <c r="AF34" i="4" s="1"/>
  <c r="AF102" i="4" s="1"/>
  <c r="T37" i="4"/>
  <c r="T103" i="4" s="1"/>
  <c r="AF38" i="4"/>
  <c r="AF37" i="4" s="1"/>
  <c r="AF103" i="4" s="1"/>
  <c r="U40" i="4"/>
  <c r="U104" i="4" s="1"/>
  <c r="AG41" i="4"/>
  <c r="AG40" i="4" s="1"/>
  <c r="AG104" i="4" s="1"/>
  <c r="U43" i="4"/>
  <c r="U105" i="4" s="1"/>
  <c r="AG44" i="4"/>
  <c r="AG43" i="4" s="1"/>
  <c r="AG105" i="4" s="1"/>
  <c r="N31" i="4"/>
  <c r="N101" i="4" s="1"/>
  <c r="Z31" i="4"/>
  <c r="V31" i="4"/>
  <c r="AH32" i="4"/>
  <c r="AH31" i="4" s="1"/>
  <c r="N34" i="4"/>
  <c r="N102" i="4" s="1"/>
  <c r="Z35" i="4"/>
  <c r="Z34" i="4" s="1"/>
  <c r="Z102" i="4" s="1"/>
  <c r="V34" i="4"/>
  <c r="V102" i="4" s="1"/>
  <c r="AH35" i="4"/>
  <c r="AH34" i="4" s="1"/>
  <c r="AH102" i="4" s="1"/>
  <c r="N37" i="4"/>
  <c r="N103" i="4" s="1"/>
  <c r="Z38" i="4"/>
  <c r="Z37" i="4" s="1"/>
  <c r="Z103" i="4" s="1"/>
  <c r="V37" i="4"/>
  <c r="V103" i="4" s="1"/>
  <c r="AH38" i="4"/>
  <c r="AH37" i="4" s="1"/>
  <c r="AH103" i="4" s="1"/>
  <c r="AD37" i="4"/>
  <c r="AD103" i="4" s="1"/>
  <c r="N40" i="4"/>
  <c r="N104" i="4" s="1"/>
  <c r="Z41" i="4"/>
  <c r="Z40" i="4" s="1"/>
  <c r="Z104" i="4" s="1"/>
  <c r="V40" i="4"/>
  <c r="V104" i="4" s="1"/>
  <c r="AH41" i="4"/>
  <c r="AH40" i="4" s="1"/>
  <c r="AH104" i="4" s="1"/>
  <c r="N43" i="4"/>
  <c r="N105" i="4" s="1"/>
  <c r="Z44" i="4"/>
  <c r="Z43" i="4" s="1"/>
  <c r="Z105" i="4" s="1"/>
  <c r="V43" i="4"/>
  <c r="V105" i="4" s="1"/>
  <c r="AH44" i="4"/>
  <c r="AH43" i="4" s="1"/>
  <c r="AH105" i="4" s="1"/>
  <c r="AD43" i="4"/>
  <c r="AD105" i="4" s="1"/>
  <c r="O37" i="4"/>
  <c r="O103" i="4" s="1"/>
  <c r="AA38" i="4"/>
  <c r="AA37" i="4" s="1"/>
  <c r="AA103" i="4" s="1"/>
  <c r="W37" i="4"/>
  <c r="W103" i="4" s="1"/>
  <c r="AI38" i="4"/>
  <c r="AI37" i="4" s="1"/>
  <c r="AI103" i="4" s="1"/>
  <c r="O40" i="4"/>
  <c r="O104" i="4" s="1"/>
  <c r="AA41" i="4"/>
  <c r="AA40" i="4" s="1"/>
  <c r="AA104" i="4" s="1"/>
  <c r="O43" i="4"/>
  <c r="O105" i="4" s="1"/>
  <c r="AA44" i="4"/>
  <c r="AA43" i="4" s="1"/>
  <c r="AA105" i="4" s="1"/>
  <c r="W43" i="4"/>
  <c r="W105" i="4" s="1"/>
  <c r="AI44" i="4"/>
  <c r="AI43" i="4" s="1"/>
  <c r="AI105" i="4" s="1"/>
  <c r="T31" i="4"/>
  <c r="T101" i="4" s="1"/>
  <c r="AF32" i="4"/>
  <c r="AF31" i="4" s="1"/>
  <c r="T40" i="4"/>
  <c r="T104" i="4" s="1"/>
  <c r="AF41" i="4"/>
  <c r="AF40" i="4" s="1"/>
  <c r="AF104" i="4" s="1"/>
  <c r="T43" i="4"/>
  <c r="T105" i="4" s="1"/>
  <c r="AF44" i="4"/>
  <c r="AF43" i="4" s="1"/>
  <c r="AF105" i="4" s="1"/>
  <c r="AB31" i="4"/>
  <c r="AJ31" i="4"/>
  <c r="AB34" i="4"/>
  <c r="AJ34" i="4"/>
  <c r="AB37" i="4"/>
  <c r="AB103" i="4" s="1"/>
  <c r="AJ37" i="4"/>
  <c r="AJ103" i="4" s="1"/>
  <c r="AB40" i="4"/>
  <c r="AB104" i="4" s="1"/>
  <c r="AJ40" i="4"/>
  <c r="AJ104" i="4" s="1"/>
  <c r="AB43" i="4"/>
  <c r="AB105" i="4" s="1"/>
  <c r="AJ43" i="4"/>
  <c r="AJ105" i="4" s="1"/>
  <c r="U37" i="4"/>
  <c r="U103" i="4" s="1"/>
  <c r="AG38" i="4"/>
  <c r="AG37" i="4" s="1"/>
  <c r="AG103" i="4" s="1"/>
  <c r="AC31" i="4"/>
  <c r="AC34" i="4"/>
  <c r="AC102" i="4" s="1"/>
  <c r="AK34" i="4"/>
  <c r="AK102" i="4" s="1"/>
  <c r="AC37" i="4"/>
  <c r="AC103" i="4" s="1"/>
  <c r="AK37" i="4"/>
  <c r="AK103" i="4" s="1"/>
  <c r="AC40" i="4"/>
  <c r="AC104" i="4" s="1"/>
  <c r="AK40" i="4"/>
  <c r="AK104" i="4" s="1"/>
  <c r="AC43" i="4"/>
  <c r="AC105" i="4" s="1"/>
  <c r="AK43" i="4"/>
  <c r="AK105" i="4" s="1"/>
  <c r="P81" i="4"/>
  <c r="X81" i="4"/>
  <c r="U34" i="4"/>
  <c r="U102" i="4" s="1"/>
  <c r="AG35" i="4"/>
  <c r="AG34" i="4" s="1"/>
  <c r="S49" i="4"/>
  <c r="U31" i="4"/>
  <c r="AG32" i="4"/>
  <c r="AG31" i="4" s="1"/>
  <c r="AK31" i="4"/>
  <c r="S34" i="4"/>
  <c r="S102" i="4" s="1"/>
  <c r="AE35" i="4"/>
  <c r="AE34" i="4" s="1"/>
  <c r="AE102" i="4" s="1"/>
  <c r="S37" i="4"/>
  <c r="S103" i="4" s="1"/>
  <c r="AE38" i="4"/>
  <c r="AE37" i="4" s="1"/>
  <c r="AE103" i="4" s="1"/>
  <c r="S40" i="4"/>
  <c r="S104" i="4" s="1"/>
  <c r="AE41" i="4"/>
  <c r="AE40" i="4" s="1"/>
  <c r="AE104" i="4" s="1"/>
  <c r="S43" i="4"/>
  <c r="S105" i="4" s="1"/>
  <c r="AE44" i="4"/>
  <c r="AE43" i="4" s="1"/>
  <c r="AE105" i="4" s="1"/>
  <c r="U143" i="4"/>
  <c r="U164" i="4" s="1"/>
  <c r="U167" i="4" s="1"/>
  <c r="R143" i="4"/>
  <c r="R164" i="4" s="1"/>
  <c r="N143" i="4"/>
  <c r="AG167" i="4"/>
  <c r="S143" i="4"/>
  <c r="S164" i="4" s="1"/>
  <c r="Q143" i="4"/>
  <c r="Q164" i="4" s="1"/>
  <c r="Q167" i="4" s="1"/>
  <c r="V143" i="4"/>
  <c r="V164" i="4" s="1"/>
  <c r="P49" i="4"/>
  <c r="O34" i="4"/>
  <c r="O102" i="4" s="1"/>
  <c r="W34" i="4"/>
  <c r="W102" i="4" s="1"/>
  <c r="W40" i="4"/>
  <c r="W104" i="4" s="1"/>
  <c r="U107" i="4"/>
  <c r="P31" i="4"/>
  <c r="X34" i="4"/>
  <c r="X102" i="4" s="1"/>
  <c r="P37" i="4"/>
  <c r="P103" i="4" s="1"/>
  <c r="X40" i="4"/>
  <c r="X104" i="4" s="1"/>
  <c r="P43" i="4"/>
  <c r="P105" i="4" s="1"/>
  <c r="Q31" i="4"/>
  <c r="Q101" i="4" s="1"/>
  <c r="Y31" i="4"/>
  <c r="Y101" i="4" s="1"/>
  <c r="Q34" i="4"/>
  <c r="Q102" i="4" s="1"/>
  <c r="Y34" i="4"/>
  <c r="Q37" i="4"/>
  <c r="Q103" i="4" s="1"/>
  <c r="Y37" i="4"/>
  <c r="Y103" i="4" s="1"/>
  <c r="Q40" i="4"/>
  <c r="Q104" i="4" s="1"/>
  <c r="Y40" i="4"/>
  <c r="Y104" i="4" s="1"/>
  <c r="Q43" i="4"/>
  <c r="Q105" i="4" s="1"/>
  <c r="Y43" i="4"/>
  <c r="Y105" i="4" s="1"/>
  <c r="O143" i="4"/>
  <c r="O164" i="4" s="1"/>
  <c r="W143" i="4"/>
  <c r="W164" i="4" s="1"/>
  <c r="X31" i="4"/>
  <c r="X101" i="4" s="1"/>
  <c r="P34" i="4"/>
  <c r="P102" i="4" s="1"/>
  <c r="X37" i="4"/>
  <c r="X103" i="4" s="1"/>
  <c r="P40" i="4"/>
  <c r="P104" i="4" s="1"/>
  <c r="X43" i="4"/>
  <c r="X105" i="4" s="1"/>
  <c r="R31" i="4"/>
  <c r="R101" i="4" s="1"/>
  <c r="R34" i="4"/>
  <c r="R102" i="4" s="1"/>
  <c r="R37" i="4"/>
  <c r="R103" i="4" s="1"/>
  <c r="R43" i="4"/>
  <c r="R105" i="4" s="1"/>
  <c r="P143" i="4"/>
  <c r="P164" i="4" s="1"/>
  <c r="X143" i="4"/>
  <c r="X164" i="4" s="1"/>
  <c r="Y143" i="4"/>
  <c r="G31" i="4"/>
  <c r="S32" i="4"/>
  <c r="C31" i="4"/>
  <c r="O33" i="4"/>
  <c r="K31" i="4"/>
  <c r="W33" i="4"/>
  <c r="P107" i="4"/>
  <c r="P65" i="4"/>
  <c r="Q107" i="4"/>
  <c r="Y115" i="4"/>
  <c r="N107" i="4"/>
  <c r="V107" i="4"/>
  <c r="R107" i="4"/>
  <c r="Y108" i="4"/>
  <c r="F40" i="4"/>
  <c r="R41" i="4"/>
  <c r="U49" i="4"/>
  <c r="S81" i="4"/>
  <c r="X49" i="4"/>
  <c r="T81" i="4"/>
  <c r="U81" i="4"/>
  <c r="V65" i="4"/>
  <c r="V81" i="4"/>
  <c r="O65" i="4"/>
  <c r="W65" i="4"/>
  <c r="S65" i="4"/>
  <c r="X65" i="4"/>
  <c r="U65" i="4"/>
  <c r="R65" i="4"/>
  <c r="N81" i="4"/>
  <c r="O81" i="4"/>
  <c r="W81" i="4"/>
  <c r="Q81" i="4"/>
  <c r="Y81" i="4"/>
  <c r="Q65" i="4"/>
  <c r="Y65" i="4"/>
  <c r="N65" i="4"/>
  <c r="T65" i="4"/>
  <c r="O49" i="4"/>
  <c r="R49" i="4"/>
  <c r="W49" i="4"/>
  <c r="V49" i="4"/>
  <c r="Y49" i="4"/>
  <c r="Q49" i="4"/>
  <c r="N49" i="4"/>
  <c r="T49" i="4"/>
  <c r="V101" i="4"/>
  <c r="F143" i="4"/>
  <c r="F164" i="4" s="1"/>
  <c r="F167" i="4" s="1"/>
  <c r="E143" i="4"/>
  <c r="E164" i="4" s="1"/>
  <c r="E167" i="4" s="1"/>
  <c r="M143" i="4"/>
  <c r="M164" i="4" s="1"/>
  <c r="M167" i="4" s="1"/>
  <c r="K143" i="4"/>
  <c r="K164" i="4" s="1"/>
  <c r="K167" i="4" s="1"/>
  <c r="L143" i="4"/>
  <c r="L164" i="4" s="1"/>
  <c r="L167" i="4" s="1"/>
  <c r="J143" i="4"/>
  <c r="J164" i="4" s="1"/>
  <c r="J167" i="4" s="1"/>
  <c r="C143" i="4"/>
  <c r="C164" i="4" s="1"/>
  <c r="C167" i="4" s="1"/>
  <c r="B143" i="4"/>
  <c r="K43" i="4"/>
  <c r="E81" i="4"/>
  <c r="M81" i="4"/>
  <c r="I81" i="4"/>
  <c r="E107" i="4"/>
  <c r="L43" i="4"/>
  <c r="B65" i="4"/>
  <c r="J65" i="4"/>
  <c r="F81" i="4"/>
  <c r="B81" i="4"/>
  <c r="I34" i="4"/>
  <c r="M37" i="4"/>
  <c r="E40" i="4"/>
  <c r="M40" i="4"/>
  <c r="E43" i="4"/>
  <c r="M43" i="4"/>
  <c r="C65" i="4"/>
  <c r="B40" i="4"/>
  <c r="J40" i="4"/>
  <c r="D81" i="4"/>
  <c r="I143" i="4"/>
  <c r="I164" i="4" s="1"/>
  <c r="I167" i="4" s="1"/>
  <c r="C43" i="4"/>
  <c r="M65" i="4"/>
  <c r="F31" i="4"/>
  <c r="H34" i="4"/>
  <c r="G43" i="4"/>
  <c r="L65" i="4"/>
  <c r="I37" i="4"/>
  <c r="E37" i="4"/>
  <c r="L31" i="4"/>
  <c r="G34" i="4"/>
  <c r="G40" i="4"/>
  <c r="F43" i="4"/>
  <c r="J81" i="4"/>
  <c r="G143" i="4"/>
  <c r="G164" i="4" s="1"/>
  <c r="G167" i="4" s="1"/>
  <c r="C34" i="4"/>
  <c r="D37" i="4"/>
  <c r="L37" i="4"/>
  <c r="C81" i="4"/>
  <c r="K34" i="4"/>
  <c r="B34" i="4"/>
  <c r="J34" i="4"/>
  <c r="D49" i="4"/>
  <c r="E31" i="4"/>
  <c r="M31" i="4"/>
  <c r="B37" i="4"/>
  <c r="J37" i="4"/>
  <c r="F37" i="4"/>
  <c r="I49" i="4"/>
  <c r="B49" i="4"/>
  <c r="H65" i="4"/>
  <c r="D65" i="4"/>
  <c r="C37" i="4"/>
  <c r="K37" i="4"/>
  <c r="F49" i="4"/>
  <c r="I65" i="4"/>
  <c r="E65" i="4"/>
  <c r="C107" i="4"/>
  <c r="K107" i="4"/>
  <c r="G107" i="4"/>
  <c r="J49" i="4"/>
  <c r="H143" i="4"/>
  <c r="H164" i="4" s="1"/>
  <c r="H167" i="4" s="1"/>
  <c r="D143" i="4"/>
  <c r="D164" i="4" s="1"/>
  <c r="D167" i="4" s="1"/>
  <c r="K81" i="4"/>
  <c r="D107" i="4"/>
  <c r="L107" i="4"/>
  <c r="H107" i="4"/>
  <c r="H49" i="4"/>
  <c r="H31" i="4"/>
  <c r="D31" i="4"/>
  <c r="D40" i="4"/>
  <c r="L40" i="4"/>
  <c r="H40" i="4"/>
  <c r="H43" i="4"/>
  <c r="D43" i="4"/>
  <c r="K65" i="4"/>
  <c r="L81" i="4"/>
  <c r="M107" i="4"/>
  <c r="M106" i="4" s="1"/>
  <c r="I107" i="4"/>
  <c r="I40" i="4"/>
  <c r="L49" i="4"/>
  <c r="E49" i="4"/>
  <c r="M49" i="4"/>
  <c r="K49" i="4"/>
  <c r="G49" i="4"/>
  <c r="C49" i="4"/>
  <c r="I31" i="4"/>
  <c r="D34" i="4"/>
  <c r="I43" i="4"/>
  <c r="G81" i="4"/>
  <c r="L34" i="4"/>
  <c r="J31" i="4"/>
  <c r="H81" i="4"/>
  <c r="M34" i="4"/>
  <c r="J43" i="4"/>
  <c r="B31" i="4"/>
  <c r="E34" i="4"/>
  <c r="B43" i="4"/>
  <c r="F34" i="4"/>
  <c r="G37" i="4"/>
  <c r="F65" i="4"/>
  <c r="H37" i="4"/>
  <c r="C40" i="4"/>
  <c r="K40" i="4"/>
  <c r="G65" i="4"/>
  <c r="B107" i="4"/>
  <c r="J107" i="4"/>
  <c r="O9" i="1"/>
  <c r="O7" i="1" s="1"/>
  <c r="P92" i="3"/>
  <c r="P96" i="3"/>
  <c r="P100" i="3"/>
  <c r="P104" i="3"/>
  <c r="P108" i="3"/>
  <c r="N9" i="1"/>
  <c r="N7" i="1" s="1"/>
  <c r="O92" i="3"/>
  <c r="O96" i="3"/>
  <c r="O100" i="3"/>
  <c r="O104" i="3"/>
  <c r="O108" i="3"/>
  <c r="M9" i="1"/>
  <c r="M7" i="1" s="1"/>
  <c r="N92" i="3"/>
  <c r="N96" i="3"/>
  <c r="N100" i="3"/>
  <c r="N104" i="3"/>
  <c r="N108" i="3"/>
  <c r="L9" i="1"/>
  <c r="L7" i="1" s="1"/>
  <c r="M92" i="3"/>
  <c r="M96" i="3"/>
  <c r="M100" i="3"/>
  <c r="M104" i="3"/>
  <c r="M108" i="3"/>
  <c r="K9" i="1"/>
  <c r="K7" i="1" s="1"/>
  <c r="L92" i="3"/>
  <c r="L96" i="3"/>
  <c r="L100" i="3"/>
  <c r="L104" i="3"/>
  <c r="L108" i="3"/>
  <c r="J9" i="1"/>
  <c r="J7" i="1" s="1"/>
  <c r="K92" i="3"/>
  <c r="K96" i="3"/>
  <c r="K100" i="3"/>
  <c r="K104" i="3"/>
  <c r="K108" i="3"/>
  <c r="I9" i="1"/>
  <c r="I7" i="1" s="1"/>
  <c r="J92" i="3"/>
  <c r="J96" i="3"/>
  <c r="J100" i="3"/>
  <c r="J104" i="3"/>
  <c r="J108" i="3"/>
  <c r="H9" i="1"/>
  <c r="H7" i="1" s="1"/>
  <c r="I92" i="3"/>
  <c r="I96" i="3"/>
  <c r="I100" i="3"/>
  <c r="I104" i="3"/>
  <c r="I108" i="3"/>
  <c r="G9" i="1"/>
  <c r="G7" i="1" s="1"/>
  <c r="H92" i="3"/>
  <c r="H96" i="3"/>
  <c r="H100" i="3"/>
  <c r="H104" i="3"/>
  <c r="H108" i="3"/>
  <c r="F9" i="1"/>
  <c r="F7" i="1" s="1"/>
  <c r="G92" i="3"/>
  <c r="G96" i="3"/>
  <c r="G100" i="3"/>
  <c r="G104" i="3"/>
  <c r="G108" i="3"/>
  <c r="E9" i="1"/>
  <c r="E7" i="1" s="1"/>
  <c r="F92" i="3"/>
  <c r="F96" i="3"/>
  <c r="F100" i="3"/>
  <c r="F104" i="3"/>
  <c r="F108" i="3"/>
  <c r="D9" i="1"/>
  <c r="D7" i="1" s="1"/>
  <c r="E92" i="3"/>
  <c r="E96" i="3"/>
  <c r="E100" i="3"/>
  <c r="E104" i="3"/>
  <c r="E108" i="3"/>
  <c r="D130" i="1"/>
  <c r="E122" i="1"/>
  <c r="F122" i="1"/>
  <c r="G122" i="1"/>
  <c r="H122" i="1"/>
  <c r="I122" i="1"/>
  <c r="J122" i="1"/>
  <c r="K122" i="1"/>
  <c r="L122" i="1"/>
  <c r="M122" i="1"/>
  <c r="N122" i="1"/>
  <c r="O122" i="1"/>
  <c r="D122" i="1"/>
  <c r="O115" i="1"/>
  <c r="E115" i="1"/>
  <c r="F115" i="1"/>
  <c r="G115" i="1"/>
  <c r="H115" i="1"/>
  <c r="I115" i="1"/>
  <c r="J115" i="1"/>
  <c r="K115" i="1"/>
  <c r="L115" i="1"/>
  <c r="M115" i="1"/>
  <c r="N115" i="1"/>
  <c r="N113" i="1" s="1"/>
  <c r="N13" i="3" s="1"/>
  <c r="D115" i="1"/>
  <c r="D113" i="1" s="1"/>
  <c r="D13" i="3" s="1"/>
  <c r="E130" i="1"/>
  <c r="E15" i="3" s="1"/>
  <c r="F130" i="1"/>
  <c r="G130" i="1"/>
  <c r="H130" i="1"/>
  <c r="H15" i="3" s="1"/>
  <c r="I130" i="1"/>
  <c r="J130" i="1"/>
  <c r="K130" i="1"/>
  <c r="K15" i="3" s="1"/>
  <c r="L130" i="1"/>
  <c r="L15" i="3" s="1"/>
  <c r="M130" i="1"/>
  <c r="N130" i="1"/>
  <c r="O130" i="1"/>
  <c r="O15" i="3" s="1"/>
  <c r="D150" i="1"/>
  <c r="B72" i="2"/>
  <c r="B73" i="2"/>
  <c r="B75" i="2"/>
  <c r="B77" i="2"/>
  <c r="O153" i="1"/>
  <c r="N153" i="1"/>
  <c r="M153" i="1"/>
  <c r="L153" i="1"/>
  <c r="K153" i="1"/>
  <c r="J153" i="1"/>
  <c r="I153" i="1"/>
  <c r="H153" i="1"/>
  <c r="G153" i="1"/>
  <c r="F153" i="1"/>
  <c r="E153" i="1"/>
  <c r="D153" i="1"/>
  <c r="O150" i="1"/>
  <c r="N150" i="1"/>
  <c r="M150" i="1"/>
  <c r="L150" i="1"/>
  <c r="K150" i="1"/>
  <c r="J150" i="1"/>
  <c r="I150" i="1"/>
  <c r="H150" i="1"/>
  <c r="G150" i="1"/>
  <c r="F150" i="1"/>
  <c r="E150" i="1"/>
  <c r="O147" i="1"/>
  <c r="N147" i="1"/>
  <c r="M147" i="1"/>
  <c r="L147" i="1"/>
  <c r="K147" i="1"/>
  <c r="J147" i="1"/>
  <c r="I147" i="1"/>
  <c r="H147" i="1"/>
  <c r="G147" i="1"/>
  <c r="F147" i="1"/>
  <c r="E147" i="1"/>
  <c r="D147" i="1"/>
  <c r="O144" i="1"/>
  <c r="N144" i="1"/>
  <c r="M144" i="1"/>
  <c r="L144" i="1"/>
  <c r="K144" i="1"/>
  <c r="J144" i="1"/>
  <c r="I144" i="1"/>
  <c r="H144" i="1"/>
  <c r="F144" i="1"/>
  <c r="E144" i="1"/>
  <c r="D144" i="1"/>
  <c r="O141" i="1"/>
  <c r="N141" i="1"/>
  <c r="M141" i="1"/>
  <c r="L141" i="1"/>
  <c r="K141" i="1"/>
  <c r="J141" i="1"/>
  <c r="I141" i="1"/>
  <c r="H141" i="1"/>
  <c r="G141" i="1"/>
  <c r="F141" i="1"/>
  <c r="E141" i="1"/>
  <c r="D141" i="1"/>
  <c r="B81" i="2"/>
  <c r="B79" i="2"/>
  <c r="C9" i="3"/>
  <c r="E51" i="1"/>
  <c r="F51" i="1"/>
  <c r="F50" i="1"/>
  <c r="G51" i="1"/>
  <c r="H51" i="1"/>
  <c r="I51" i="1"/>
  <c r="J51" i="1"/>
  <c r="J50" i="1"/>
  <c r="K51" i="1"/>
  <c r="L51" i="1"/>
  <c r="M51" i="1"/>
  <c r="N51" i="1"/>
  <c r="O51" i="1"/>
  <c r="D51" i="1"/>
  <c r="E50" i="1"/>
  <c r="G50" i="1"/>
  <c r="H50" i="1"/>
  <c r="I50" i="1"/>
  <c r="K50" i="1"/>
  <c r="K49" i="1" s="1"/>
  <c r="K111" i="1" s="1"/>
  <c r="J81" i="2" s="1"/>
  <c r="L50" i="1"/>
  <c r="M50" i="1"/>
  <c r="N50" i="1"/>
  <c r="O50" i="1"/>
  <c r="D50" i="1"/>
  <c r="E48" i="1"/>
  <c r="F48" i="1"/>
  <c r="G48" i="1"/>
  <c r="H48" i="1"/>
  <c r="I48" i="1"/>
  <c r="J48" i="1"/>
  <c r="K48" i="1"/>
  <c r="K46" i="1" s="1"/>
  <c r="K110" i="1" s="1"/>
  <c r="J79" i="2" s="1"/>
  <c r="L48" i="1"/>
  <c r="M48" i="1"/>
  <c r="N48" i="1"/>
  <c r="O48" i="1"/>
  <c r="D48" i="1"/>
  <c r="E47" i="1"/>
  <c r="F47" i="1"/>
  <c r="G47" i="1"/>
  <c r="H47" i="1"/>
  <c r="I47" i="1"/>
  <c r="J47" i="1"/>
  <c r="K47" i="1"/>
  <c r="L47" i="1"/>
  <c r="M47" i="1"/>
  <c r="N47" i="1"/>
  <c r="O47" i="1"/>
  <c r="D47" i="1"/>
  <c r="E45" i="1"/>
  <c r="F45" i="1"/>
  <c r="G45" i="1"/>
  <c r="H45" i="1"/>
  <c r="I45" i="1"/>
  <c r="J45" i="1"/>
  <c r="K45" i="1"/>
  <c r="L45" i="1"/>
  <c r="M45" i="1"/>
  <c r="N45" i="1"/>
  <c r="O45" i="1"/>
  <c r="D45" i="1"/>
  <c r="E44" i="1"/>
  <c r="F44" i="1"/>
  <c r="G44" i="1"/>
  <c r="H44" i="1"/>
  <c r="I44" i="1"/>
  <c r="J44" i="1"/>
  <c r="K44" i="1"/>
  <c r="L44" i="1"/>
  <c r="M44" i="1"/>
  <c r="N44" i="1"/>
  <c r="O44" i="1"/>
  <c r="D44" i="1"/>
  <c r="E42" i="1"/>
  <c r="F42" i="1"/>
  <c r="G42" i="1"/>
  <c r="H42" i="1"/>
  <c r="I42" i="1"/>
  <c r="J42" i="1"/>
  <c r="K42" i="1"/>
  <c r="L42" i="1"/>
  <c r="M42" i="1"/>
  <c r="N42" i="1"/>
  <c r="O42" i="1"/>
  <c r="D42" i="1"/>
  <c r="E41" i="1"/>
  <c r="F41" i="1"/>
  <c r="G41" i="1"/>
  <c r="H41" i="1"/>
  <c r="I41" i="1"/>
  <c r="J41" i="1"/>
  <c r="K41" i="1"/>
  <c r="L41" i="1"/>
  <c r="M41" i="1"/>
  <c r="N41" i="1"/>
  <c r="O41" i="1"/>
  <c r="D41" i="1"/>
  <c r="E39" i="1"/>
  <c r="F39" i="1"/>
  <c r="G39" i="1"/>
  <c r="H39" i="1"/>
  <c r="I39" i="1"/>
  <c r="J39" i="1"/>
  <c r="K39" i="1"/>
  <c r="L39" i="1"/>
  <c r="M39" i="1"/>
  <c r="N39" i="1"/>
  <c r="O39" i="1"/>
  <c r="D39" i="1"/>
  <c r="E38" i="1"/>
  <c r="F38" i="1"/>
  <c r="G38" i="1"/>
  <c r="H38" i="1"/>
  <c r="I38" i="1"/>
  <c r="J38" i="1"/>
  <c r="K38" i="1"/>
  <c r="L38" i="1"/>
  <c r="M38" i="1"/>
  <c r="N38" i="1"/>
  <c r="O38" i="1"/>
  <c r="D38" i="1"/>
  <c r="O83" i="1"/>
  <c r="N83" i="1"/>
  <c r="M83" i="1"/>
  <c r="L83" i="1"/>
  <c r="K83" i="1"/>
  <c r="J83" i="1"/>
  <c r="I83" i="1"/>
  <c r="H83" i="1"/>
  <c r="G83" i="1"/>
  <c r="F83" i="1"/>
  <c r="E83" i="1"/>
  <c r="D83" i="1"/>
  <c r="O80" i="1"/>
  <c r="N80" i="1"/>
  <c r="M80" i="1"/>
  <c r="L80" i="1"/>
  <c r="K80" i="1"/>
  <c r="J80" i="1"/>
  <c r="I80" i="1"/>
  <c r="H80" i="1"/>
  <c r="G80" i="1"/>
  <c r="F80" i="1"/>
  <c r="E80" i="1"/>
  <c r="D80" i="1"/>
  <c r="D88" i="1"/>
  <c r="E88" i="1"/>
  <c r="F88" i="1"/>
  <c r="G88" i="1"/>
  <c r="H88" i="1"/>
  <c r="I88" i="1"/>
  <c r="J88" i="1"/>
  <c r="K88" i="1"/>
  <c r="L88" i="1"/>
  <c r="M88" i="1"/>
  <c r="N88" i="1"/>
  <c r="O88" i="1"/>
  <c r="O100" i="1"/>
  <c r="N100" i="1"/>
  <c r="M100" i="1"/>
  <c r="L100" i="1"/>
  <c r="K100" i="1"/>
  <c r="J100" i="1"/>
  <c r="I100" i="1"/>
  <c r="H100" i="1"/>
  <c r="G100" i="1"/>
  <c r="F100" i="1"/>
  <c r="E100" i="1"/>
  <c r="D100" i="1"/>
  <c r="O97" i="1"/>
  <c r="N97" i="1"/>
  <c r="M97" i="1"/>
  <c r="L97" i="1"/>
  <c r="K97" i="1"/>
  <c r="J97" i="1"/>
  <c r="I97" i="1"/>
  <c r="H97" i="1"/>
  <c r="G97" i="1"/>
  <c r="F97" i="1"/>
  <c r="E97" i="1"/>
  <c r="D97" i="1"/>
  <c r="B44" i="2"/>
  <c r="B45" i="2"/>
  <c r="E66" i="1"/>
  <c r="F66" i="1"/>
  <c r="G66" i="1"/>
  <c r="H66" i="1"/>
  <c r="I66" i="1"/>
  <c r="J66" i="1"/>
  <c r="K66" i="1"/>
  <c r="K54" i="1"/>
  <c r="K57" i="1"/>
  <c r="K60" i="1"/>
  <c r="K63" i="1"/>
  <c r="L66" i="1"/>
  <c r="M66" i="1"/>
  <c r="N66" i="1"/>
  <c r="O66" i="1"/>
  <c r="E63" i="1"/>
  <c r="F63" i="1"/>
  <c r="G63" i="1"/>
  <c r="H63" i="1"/>
  <c r="J63" i="1"/>
  <c r="L63" i="1"/>
  <c r="M63" i="1"/>
  <c r="N63" i="1"/>
  <c r="O63" i="1"/>
  <c r="O54" i="1"/>
  <c r="O57" i="1"/>
  <c r="O60" i="1"/>
  <c r="E60" i="1"/>
  <c r="F60" i="1"/>
  <c r="G60" i="1"/>
  <c r="H60" i="1"/>
  <c r="I60" i="1"/>
  <c r="L60" i="1"/>
  <c r="M60" i="1"/>
  <c r="N60" i="1"/>
  <c r="E57" i="1"/>
  <c r="F57" i="1"/>
  <c r="G57" i="1"/>
  <c r="H57" i="1"/>
  <c r="I57" i="1"/>
  <c r="J57" i="1"/>
  <c r="L57" i="1"/>
  <c r="M57" i="1"/>
  <c r="N57" i="1"/>
  <c r="E54" i="1"/>
  <c r="F54" i="1"/>
  <c r="G54" i="1"/>
  <c r="H54" i="1"/>
  <c r="I54" i="1"/>
  <c r="J54" i="1"/>
  <c r="L54" i="1"/>
  <c r="M54" i="1"/>
  <c r="N54" i="1"/>
  <c r="D54" i="1"/>
  <c r="E26" i="1"/>
  <c r="F26" i="1"/>
  <c r="G26" i="1"/>
  <c r="H26" i="1"/>
  <c r="I26" i="1"/>
  <c r="J26" i="1"/>
  <c r="K26" i="1"/>
  <c r="L26" i="1"/>
  <c r="M26" i="1"/>
  <c r="N26" i="1"/>
  <c r="O26" i="1"/>
  <c r="D26" i="1"/>
  <c r="B32" i="2"/>
  <c r="B34" i="2"/>
  <c r="C30" i="2"/>
  <c r="D30" i="2"/>
  <c r="E30" i="2"/>
  <c r="F30" i="2"/>
  <c r="G30" i="2"/>
  <c r="H30" i="2"/>
  <c r="I30" i="2"/>
  <c r="J30" i="2"/>
  <c r="K30" i="2"/>
  <c r="L30" i="2"/>
  <c r="M30" i="2"/>
  <c r="N30" i="2"/>
  <c r="C32" i="2"/>
  <c r="D32" i="2"/>
  <c r="E32" i="2"/>
  <c r="F32" i="2"/>
  <c r="G32" i="2"/>
  <c r="H32" i="2"/>
  <c r="I32" i="2"/>
  <c r="J32" i="2"/>
  <c r="K32" i="2"/>
  <c r="L32" i="2"/>
  <c r="M32" i="2"/>
  <c r="N32" i="2"/>
  <c r="C34" i="2"/>
  <c r="D34" i="2"/>
  <c r="E34" i="2"/>
  <c r="F34" i="2"/>
  <c r="G34" i="2"/>
  <c r="H34" i="2"/>
  <c r="I34" i="2"/>
  <c r="J34" i="2"/>
  <c r="K34" i="2"/>
  <c r="L34" i="2"/>
  <c r="M34" i="2"/>
  <c r="N34" i="2"/>
  <c r="B30" i="2"/>
  <c r="B49" i="2"/>
  <c r="B47" i="2"/>
  <c r="C17" i="3"/>
  <c r="G15" i="3"/>
  <c r="I15" i="3"/>
  <c r="J15" i="3"/>
  <c r="M15" i="3"/>
  <c r="N15" i="3"/>
  <c r="C15" i="3"/>
  <c r="C13" i="3"/>
  <c r="C11" i="3"/>
  <c r="C7" i="3"/>
  <c r="E5" i="3"/>
  <c r="F5" i="3"/>
  <c r="G5" i="3"/>
  <c r="H5" i="3"/>
  <c r="I5" i="3"/>
  <c r="J5" i="3"/>
  <c r="K5" i="3"/>
  <c r="L5" i="3"/>
  <c r="M5" i="3"/>
  <c r="N5" i="3"/>
  <c r="O5" i="3"/>
  <c r="D5" i="3"/>
  <c r="C5" i="3"/>
  <c r="D21" i="2"/>
  <c r="E21" i="2"/>
  <c r="F21" i="2"/>
  <c r="G21" i="2"/>
  <c r="H21" i="2"/>
  <c r="I21" i="2"/>
  <c r="J21" i="2"/>
  <c r="K21" i="2"/>
  <c r="L21" i="2"/>
  <c r="M21" i="2"/>
  <c r="N21" i="2"/>
  <c r="C21" i="2"/>
  <c r="D18" i="2"/>
  <c r="E18" i="2"/>
  <c r="F18" i="2"/>
  <c r="G18" i="2"/>
  <c r="H18" i="2"/>
  <c r="I18" i="2"/>
  <c r="J18" i="2"/>
  <c r="K18" i="2"/>
  <c r="L18" i="2"/>
  <c r="M18" i="2"/>
  <c r="N18" i="2"/>
  <c r="C18" i="2"/>
  <c r="B21" i="2"/>
  <c r="B18" i="2"/>
  <c r="D15" i="2"/>
  <c r="E15" i="2"/>
  <c r="F15" i="2"/>
  <c r="G15" i="2"/>
  <c r="H15" i="2"/>
  <c r="I15" i="2"/>
  <c r="J15" i="2"/>
  <c r="K15" i="2"/>
  <c r="L15" i="2"/>
  <c r="M15" i="2"/>
  <c r="N15" i="2"/>
  <c r="C15" i="2"/>
  <c r="B15" i="2"/>
  <c r="D12" i="2"/>
  <c r="E12" i="2"/>
  <c r="F12" i="2"/>
  <c r="G12" i="2"/>
  <c r="H12" i="2"/>
  <c r="I12" i="2"/>
  <c r="J12" i="2"/>
  <c r="K12" i="2"/>
  <c r="L12" i="2"/>
  <c r="M12" i="2"/>
  <c r="N12" i="2"/>
  <c r="C12" i="2"/>
  <c r="B12" i="2"/>
  <c r="D9" i="2"/>
  <c r="E9" i="2"/>
  <c r="F9" i="2"/>
  <c r="G9" i="2"/>
  <c r="H9" i="2"/>
  <c r="I9" i="2"/>
  <c r="J9" i="2"/>
  <c r="K9" i="2"/>
  <c r="L9" i="2"/>
  <c r="M9" i="2"/>
  <c r="N9" i="2"/>
  <c r="B9" i="2"/>
  <c r="D5" i="2"/>
  <c r="E5" i="2"/>
  <c r="F5" i="2"/>
  <c r="G5" i="2"/>
  <c r="H5" i="2"/>
  <c r="I5" i="2"/>
  <c r="J5" i="2"/>
  <c r="K5" i="2"/>
  <c r="L5" i="2"/>
  <c r="M5" i="2"/>
  <c r="N5" i="2"/>
  <c r="C5" i="2"/>
  <c r="E71" i="1"/>
  <c r="E74" i="1"/>
  <c r="E77" i="1"/>
  <c r="F71" i="1"/>
  <c r="G71" i="1"/>
  <c r="H71" i="1"/>
  <c r="I71" i="1"/>
  <c r="J71" i="1"/>
  <c r="K71" i="1"/>
  <c r="L71" i="1"/>
  <c r="M71" i="1"/>
  <c r="N71" i="1"/>
  <c r="O71" i="1"/>
  <c r="F74" i="1"/>
  <c r="G74" i="1"/>
  <c r="H74" i="1"/>
  <c r="I74" i="1"/>
  <c r="J74" i="1"/>
  <c r="K74" i="1"/>
  <c r="L74" i="1"/>
  <c r="M74" i="1"/>
  <c r="N74" i="1"/>
  <c r="O74" i="1"/>
  <c r="F77" i="1"/>
  <c r="G77" i="1"/>
  <c r="H77" i="1"/>
  <c r="I77" i="1"/>
  <c r="J77" i="1"/>
  <c r="K77" i="1"/>
  <c r="L77" i="1"/>
  <c r="M77" i="1"/>
  <c r="N77" i="1"/>
  <c r="O77" i="1"/>
  <c r="E91" i="1"/>
  <c r="F91" i="1"/>
  <c r="G91" i="1"/>
  <c r="H91" i="1"/>
  <c r="I91" i="1"/>
  <c r="J91" i="1"/>
  <c r="K91" i="1"/>
  <c r="L91" i="1"/>
  <c r="M91" i="1"/>
  <c r="N91" i="1"/>
  <c r="O91" i="1"/>
  <c r="E94" i="1"/>
  <c r="F94" i="1"/>
  <c r="G94" i="1"/>
  <c r="H94" i="1"/>
  <c r="I94" i="1"/>
  <c r="J94" i="1"/>
  <c r="K94" i="1"/>
  <c r="L94" i="1"/>
  <c r="M94" i="1"/>
  <c r="N94" i="1"/>
  <c r="O94" i="1"/>
  <c r="F15" i="3"/>
  <c r="D71" i="1"/>
  <c r="D74" i="1"/>
  <c r="D77" i="1"/>
  <c r="D91" i="1"/>
  <c r="D94" i="1"/>
  <c r="G144" i="1"/>
  <c r="M37" i="1" l="1"/>
  <c r="M107" i="1" s="1"/>
  <c r="L73" i="2" s="1"/>
  <c r="H113" i="1"/>
  <c r="H13" i="3" s="1"/>
  <c r="F113" i="1"/>
  <c r="F13" i="3" s="1"/>
  <c r="E113" i="1"/>
  <c r="E13" i="3" s="1"/>
  <c r="O113" i="1"/>
  <c r="O13" i="3" s="1"/>
  <c r="I113" i="1"/>
  <c r="I13" i="3" s="1"/>
  <c r="M113" i="1"/>
  <c r="M13" i="3" s="1"/>
  <c r="L113" i="1"/>
  <c r="L13" i="3" s="1"/>
  <c r="K113" i="1"/>
  <c r="K13" i="3" s="1"/>
  <c r="J113" i="1"/>
  <c r="J13" i="3" s="1"/>
  <c r="M87" i="1"/>
  <c r="L49" i="2" s="1"/>
  <c r="D49" i="1"/>
  <c r="D111" i="1" s="1"/>
  <c r="C81" i="2" s="1"/>
  <c r="G49" i="1"/>
  <c r="G111" i="1" s="1"/>
  <c r="F81" i="2" s="1"/>
  <c r="O43" i="1"/>
  <c r="O109" i="1" s="1"/>
  <c r="N77" i="2" s="1"/>
  <c r="M43" i="1"/>
  <c r="M109" i="1" s="1"/>
  <c r="L77" i="2" s="1"/>
  <c r="O37" i="1"/>
  <c r="O107" i="1" s="1"/>
  <c r="N73" i="2" s="1"/>
  <c r="N37" i="1"/>
  <c r="N107" i="1" s="1"/>
  <c r="M73" i="2" s="1"/>
  <c r="D43" i="1"/>
  <c r="D109" i="1" s="1"/>
  <c r="C77" i="2" s="1"/>
  <c r="F43" i="1"/>
  <c r="F109" i="1" s="1"/>
  <c r="E77" i="2" s="1"/>
  <c r="L43" i="1"/>
  <c r="L109" i="1" s="1"/>
  <c r="K77" i="2" s="1"/>
  <c r="M70" i="1"/>
  <c r="L47" i="2" s="1"/>
  <c r="L70" i="1"/>
  <c r="K47" i="2" s="1"/>
  <c r="N49" i="1"/>
  <c r="N111" i="1" s="1"/>
  <c r="M81" i="2" s="1"/>
  <c r="D46" i="1"/>
  <c r="D110" i="1" s="1"/>
  <c r="C79" i="2" s="1"/>
  <c r="O46" i="1"/>
  <c r="O110" i="1" s="1"/>
  <c r="N79" i="2" s="1"/>
  <c r="F70" i="1"/>
  <c r="E47" i="2" s="1"/>
  <c r="L46" i="1"/>
  <c r="L110" i="1" s="1"/>
  <c r="K79" i="2" s="1"/>
  <c r="G46" i="1"/>
  <c r="G110" i="1" s="1"/>
  <c r="F79" i="2" s="1"/>
  <c r="N46" i="1"/>
  <c r="N110" i="1" s="1"/>
  <c r="M79" i="2" s="1"/>
  <c r="F46" i="1"/>
  <c r="F110" i="1" s="1"/>
  <c r="E79" i="2" s="1"/>
  <c r="G53" i="1"/>
  <c r="F45" i="2" s="1"/>
  <c r="N43" i="1"/>
  <c r="N109" i="1" s="1"/>
  <c r="M77" i="2" s="1"/>
  <c r="J43" i="1"/>
  <c r="J109" i="1" s="1"/>
  <c r="I77" i="2" s="1"/>
  <c r="I43" i="1"/>
  <c r="I109" i="1" s="1"/>
  <c r="H77" i="2" s="1"/>
  <c r="O40" i="1"/>
  <c r="O108" i="1" s="1"/>
  <c r="N75" i="2" s="1"/>
  <c r="N40" i="1"/>
  <c r="H40" i="1"/>
  <c r="H108" i="1" s="1"/>
  <c r="G75" i="2" s="1"/>
  <c r="G40" i="1"/>
  <c r="G108" i="1" s="1"/>
  <c r="F75" i="2" s="1"/>
  <c r="F40" i="1"/>
  <c r="F108" i="1" s="1"/>
  <c r="E75" i="2" s="1"/>
  <c r="E40" i="1"/>
  <c r="E108" i="1" s="1"/>
  <c r="D75" i="2" s="1"/>
  <c r="G37" i="1"/>
  <c r="G107" i="1" s="1"/>
  <c r="F73" i="2" s="1"/>
  <c r="E37" i="1"/>
  <c r="E107" i="1" s="1"/>
  <c r="D37" i="1"/>
  <c r="D107" i="1" s="1"/>
  <c r="C73" i="2" s="1"/>
  <c r="J37" i="1"/>
  <c r="J107" i="1" s="1"/>
  <c r="I73" i="2" s="1"/>
  <c r="N53" i="1"/>
  <c r="M45" i="2" s="1"/>
  <c r="G70" i="1"/>
  <c r="F47" i="2" s="1"/>
  <c r="M46" i="1"/>
  <c r="M110" i="1" s="1"/>
  <c r="L79" i="2" s="1"/>
  <c r="L87" i="1"/>
  <c r="K49" i="2" s="1"/>
  <c r="K87" i="1"/>
  <c r="J49" i="2" s="1"/>
  <c r="J70" i="1"/>
  <c r="I47" i="2" s="1"/>
  <c r="K40" i="1"/>
  <c r="K108" i="1" s="1"/>
  <c r="J75" i="2" s="1"/>
  <c r="H53" i="1"/>
  <c r="G45" i="2" s="1"/>
  <c r="J40" i="1"/>
  <c r="J108" i="1" s="1"/>
  <c r="I75" i="2" s="1"/>
  <c r="I87" i="1"/>
  <c r="H49" i="2" s="1"/>
  <c r="D70" i="1"/>
  <c r="C47" i="2" s="1"/>
  <c r="I40" i="1"/>
  <c r="I108" i="1" s="1"/>
  <c r="H75" i="2" s="1"/>
  <c r="H46" i="1"/>
  <c r="H110" i="1" s="1"/>
  <c r="G79" i="2" s="1"/>
  <c r="E70" i="1"/>
  <c r="D47" i="2" s="1"/>
  <c r="G113" i="1"/>
  <c r="G13" i="3" s="1"/>
  <c r="H87" i="1"/>
  <c r="G49" i="2" s="1"/>
  <c r="F53" i="1"/>
  <c r="E45" i="2" s="1"/>
  <c r="L37" i="1"/>
  <c r="L107" i="1" s="1"/>
  <c r="F37" i="1"/>
  <c r="E46" i="1"/>
  <c r="E110" i="1" s="1"/>
  <c r="D79" i="2" s="1"/>
  <c r="O70" i="1"/>
  <c r="N47" i="2" s="1"/>
  <c r="F49" i="1"/>
  <c r="F111" i="1" s="1"/>
  <c r="E81" i="2" s="1"/>
  <c r="E87" i="1"/>
  <c r="D49" i="2" s="1"/>
  <c r="F87" i="1"/>
  <c r="E49" i="2" s="1"/>
  <c r="O53" i="1"/>
  <c r="N45" i="2" s="1"/>
  <c r="K37" i="1"/>
  <c r="K107" i="1" s="1"/>
  <c r="K70" i="1"/>
  <c r="J47" i="2" s="1"/>
  <c r="J46" i="1"/>
  <c r="J110" i="1" s="1"/>
  <c r="I79" i="2" s="1"/>
  <c r="I46" i="1"/>
  <c r="I110" i="1" s="1"/>
  <c r="H79" i="2" s="1"/>
  <c r="E49" i="1"/>
  <c r="E111" i="1" s="1"/>
  <c r="D81" i="2" s="1"/>
  <c r="N87" i="1"/>
  <c r="M49" i="2" s="1"/>
  <c r="M53" i="1"/>
  <c r="L45" i="2" s="1"/>
  <c r="I37" i="1"/>
  <c r="I107" i="1" s="1"/>
  <c r="K43" i="1"/>
  <c r="K109" i="1" s="1"/>
  <c r="J77" i="2" s="1"/>
  <c r="N70" i="1"/>
  <c r="M47" i="2" s="1"/>
  <c r="H70" i="1"/>
  <c r="G47" i="2" s="1"/>
  <c r="K53" i="1"/>
  <c r="J45" i="2" s="1"/>
  <c r="H37" i="1"/>
  <c r="H107" i="1" s="1"/>
  <c r="D40" i="1"/>
  <c r="D108" i="1" s="1"/>
  <c r="O49" i="1"/>
  <c r="O111" i="1" s="1"/>
  <c r="N81" i="2" s="1"/>
  <c r="D87" i="1"/>
  <c r="C49" i="2" s="1"/>
  <c r="D53" i="1"/>
  <c r="C45" i="2" s="1"/>
  <c r="H43" i="1"/>
  <c r="H109" i="1" s="1"/>
  <c r="G77" i="2" s="1"/>
  <c r="D22" i="5"/>
  <c r="G22" i="5" s="1"/>
  <c r="J53" i="1"/>
  <c r="I45" i="2" s="1"/>
  <c r="I53" i="1"/>
  <c r="H45" i="2" s="1"/>
  <c r="G43" i="1"/>
  <c r="G109" i="1" s="1"/>
  <c r="F77" i="2" s="1"/>
  <c r="J87" i="1"/>
  <c r="I49" i="2" s="1"/>
  <c r="M40" i="1"/>
  <c r="I70" i="1"/>
  <c r="H47" i="2" s="1"/>
  <c r="L53" i="1"/>
  <c r="K45" i="2" s="1"/>
  <c r="L40" i="1"/>
  <c r="L108" i="1" s="1"/>
  <c r="K75" i="2" s="1"/>
  <c r="E43" i="1"/>
  <c r="E109" i="1" s="1"/>
  <c r="D77" i="2" s="1"/>
  <c r="J49" i="1"/>
  <c r="J111" i="1" s="1"/>
  <c r="I81" i="2" s="1"/>
  <c r="O87" i="1"/>
  <c r="N49" i="2" s="1"/>
  <c r="M49" i="1"/>
  <c r="M111" i="1" s="1"/>
  <c r="L81" i="2" s="1"/>
  <c r="D19" i="5"/>
  <c r="G19" i="5" s="1"/>
  <c r="G87" i="1"/>
  <c r="F49" i="2" s="1"/>
  <c r="E53" i="1"/>
  <c r="D45" i="2" s="1"/>
  <c r="L49" i="1"/>
  <c r="L111" i="1" s="1"/>
  <c r="K81" i="2" s="1"/>
  <c r="I49" i="1"/>
  <c r="I111" i="1" s="1"/>
  <c r="H81" i="2" s="1"/>
  <c r="H49" i="1"/>
  <c r="H111" i="1" s="1"/>
  <c r="G81" i="2" s="1"/>
  <c r="H89" i="3"/>
  <c r="G7" i="3"/>
  <c r="F6" i="2"/>
  <c r="N6" i="2"/>
  <c r="P89" i="3"/>
  <c r="O7" i="3"/>
  <c r="O14" i="3" s="1"/>
  <c r="K89" i="3"/>
  <c r="J7" i="3"/>
  <c r="I6" i="2"/>
  <c r="I13" i="2" s="1"/>
  <c r="F89" i="3"/>
  <c r="D6" i="2"/>
  <c r="D35" i="2" s="1"/>
  <c r="E7" i="3"/>
  <c r="N89" i="3"/>
  <c r="L6" i="2"/>
  <c r="L13" i="2" s="1"/>
  <c r="M7" i="3"/>
  <c r="I89" i="3"/>
  <c r="G6" i="2"/>
  <c r="G16" i="2" s="1"/>
  <c r="H7" i="3"/>
  <c r="H14" i="3" s="1"/>
  <c r="L89" i="3"/>
  <c r="K7" i="3"/>
  <c r="J6" i="2"/>
  <c r="E6" i="2"/>
  <c r="G89" i="3"/>
  <c r="F7" i="3"/>
  <c r="O89" i="3"/>
  <c r="N7" i="3"/>
  <c r="N14" i="3" s="1"/>
  <c r="M6" i="2"/>
  <c r="M33" i="2" s="1"/>
  <c r="I7" i="3"/>
  <c r="J89" i="3"/>
  <c r="H6" i="2"/>
  <c r="D7" i="5"/>
  <c r="G7" i="5" s="1"/>
  <c r="E89" i="3"/>
  <c r="C6" i="2"/>
  <c r="C33" i="2" s="1"/>
  <c r="D7" i="3"/>
  <c r="M89" i="3"/>
  <c r="K6" i="2"/>
  <c r="K31" i="2" s="1"/>
  <c r="L7" i="3"/>
  <c r="M137" i="4"/>
  <c r="D16" i="5"/>
  <c r="D15" i="3"/>
  <c r="Q15" i="3" s="1"/>
  <c r="T15" i="3" s="1"/>
  <c r="V15" i="3" s="1"/>
  <c r="E48" i="4"/>
  <c r="M135" i="4"/>
  <c r="AM133" i="4"/>
  <c r="AL133" i="4"/>
  <c r="Z167" i="4"/>
  <c r="AM135" i="4"/>
  <c r="AK134" i="4"/>
  <c r="AK137" i="4"/>
  <c r="B164" i="4"/>
  <c r="B167" i="4" s="1"/>
  <c r="N28" i="4"/>
  <c r="N163" i="4" s="1"/>
  <c r="N164" i="4"/>
  <c r="N167" i="4" s="1"/>
  <c r="Y135" i="4"/>
  <c r="AL135" i="4" s="1"/>
  <c r="P48" i="4"/>
  <c r="U28" i="4"/>
  <c r="U98" i="4" s="1"/>
  <c r="U130" i="4" s="1"/>
  <c r="S48" i="4"/>
  <c r="N100" i="4"/>
  <c r="X28" i="4"/>
  <c r="X98" i="4" s="1"/>
  <c r="X130" i="4" s="1"/>
  <c r="U101" i="4"/>
  <c r="U100" i="4" s="1"/>
  <c r="E139" i="1"/>
  <c r="U30" i="4"/>
  <c r="T28" i="4"/>
  <c r="T98" i="4" s="1"/>
  <c r="T130" i="4" s="1"/>
  <c r="T30" i="4"/>
  <c r="S31" i="4"/>
  <c r="AE32" i="4"/>
  <c r="AE31" i="4" s="1"/>
  <c r="T100" i="4"/>
  <c r="W48" i="4"/>
  <c r="R40" i="4"/>
  <c r="R104" i="4" s="1"/>
  <c r="R100" i="4" s="1"/>
  <c r="AD41" i="4"/>
  <c r="AD40" i="4" s="1"/>
  <c r="AC28" i="4"/>
  <c r="AC101" i="4"/>
  <c r="AC100" i="4" s="1"/>
  <c r="AC30" i="4"/>
  <c r="V30" i="4"/>
  <c r="AJ28" i="4"/>
  <c r="AJ102" i="4"/>
  <c r="AF101" i="4"/>
  <c r="AF100" i="4" s="1"/>
  <c r="AF30" i="4"/>
  <c r="AF28" i="4"/>
  <c r="V100" i="4"/>
  <c r="AK101" i="4"/>
  <c r="AK100" i="4" s="1"/>
  <c r="AK28" i="4"/>
  <c r="AK30" i="4"/>
  <c r="AB28" i="4"/>
  <c r="AB102" i="4"/>
  <c r="AH101" i="4"/>
  <c r="AH100" i="4" s="1"/>
  <c r="AH30" i="4"/>
  <c r="AH28" i="4"/>
  <c r="P30" i="4"/>
  <c r="V28" i="4"/>
  <c r="V163" i="4" s="1"/>
  <c r="V168" i="4" s="1"/>
  <c r="W31" i="4"/>
  <c r="W101" i="4" s="1"/>
  <c r="W100" i="4" s="1"/>
  <c r="AI33" i="4"/>
  <c r="AI31" i="4" s="1"/>
  <c r="AG30" i="4"/>
  <c r="AG101" i="4"/>
  <c r="AG28" i="4"/>
  <c r="AG102" i="4"/>
  <c r="AJ101" i="4"/>
  <c r="AJ30" i="4"/>
  <c r="X100" i="4"/>
  <c r="AB101" i="4"/>
  <c r="AB30" i="4"/>
  <c r="Z101" i="4"/>
  <c r="Z100" i="4" s="1"/>
  <c r="Z30" i="4"/>
  <c r="Z28" i="4"/>
  <c r="N30" i="4"/>
  <c r="O31" i="4"/>
  <c r="O101" i="4" s="1"/>
  <c r="O100" i="4" s="1"/>
  <c r="AA33" i="4"/>
  <c r="AA31" i="4" s="1"/>
  <c r="Y28" i="4"/>
  <c r="Y98" i="4" s="1"/>
  <c r="P28" i="4"/>
  <c r="P163" i="4" s="1"/>
  <c r="P168" i="4" s="1"/>
  <c r="S167" i="4"/>
  <c r="R167" i="4"/>
  <c r="Y164" i="4"/>
  <c r="Y167" i="4" s="1"/>
  <c r="Y144" i="4"/>
  <c r="AK144" i="4"/>
  <c r="X167" i="4"/>
  <c r="P167" i="4"/>
  <c r="V167" i="4"/>
  <c r="W167" i="4"/>
  <c r="O167" i="4"/>
  <c r="Q30" i="4"/>
  <c r="P101" i="4"/>
  <c r="P100" i="4" s="1"/>
  <c r="Y30" i="4"/>
  <c r="Y102" i="4"/>
  <c r="Y100" i="4" s="1"/>
  <c r="O139" i="1"/>
  <c r="T48" i="4"/>
  <c r="X30" i="4"/>
  <c r="Q100" i="4"/>
  <c r="Q28" i="4"/>
  <c r="Q98" i="4" s="1"/>
  <c r="Q130" i="4" s="1"/>
  <c r="O30" i="4"/>
  <c r="F100" i="4"/>
  <c r="F30" i="4"/>
  <c r="U48" i="4"/>
  <c r="I100" i="4"/>
  <c r="I30" i="4"/>
  <c r="K30" i="4"/>
  <c r="D30" i="4"/>
  <c r="L30" i="4"/>
  <c r="X48" i="4"/>
  <c r="J100" i="4"/>
  <c r="J30" i="4"/>
  <c r="H30" i="4"/>
  <c r="M30" i="4"/>
  <c r="C100" i="4"/>
  <c r="C30" i="4"/>
  <c r="F139" i="1"/>
  <c r="N139" i="1"/>
  <c r="E30" i="4"/>
  <c r="G30" i="4"/>
  <c r="O48" i="4"/>
  <c r="M139" i="1"/>
  <c r="I139" i="1"/>
  <c r="B30" i="4"/>
  <c r="L48" i="4"/>
  <c r="N48" i="4"/>
  <c r="V48" i="4"/>
  <c r="R48" i="4"/>
  <c r="Q48" i="4"/>
  <c r="Y48" i="4"/>
  <c r="F91" i="3"/>
  <c r="F93" i="3" s="1"/>
  <c r="H91" i="3"/>
  <c r="I91" i="3"/>
  <c r="I101" i="3" s="1"/>
  <c r="J91" i="3"/>
  <c r="K91" i="3"/>
  <c r="L91" i="3"/>
  <c r="N91" i="3"/>
  <c r="P91" i="3"/>
  <c r="E91" i="3"/>
  <c r="M91" i="3"/>
  <c r="G91" i="3"/>
  <c r="O91" i="3"/>
  <c r="H139" i="1"/>
  <c r="J139" i="1"/>
  <c r="L139" i="1"/>
  <c r="G139" i="1"/>
  <c r="K139" i="1"/>
  <c r="D139" i="1"/>
  <c r="C48" i="4"/>
  <c r="M48" i="4"/>
  <c r="B48" i="4"/>
  <c r="B100" i="4"/>
  <c r="B28" i="4"/>
  <c r="I48" i="4"/>
  <c r="F48" i="4"/>
  <c r="G48" i="4"/>
  <c r="J48" i="4"/>
  <c r="K48" i="4"/>
  <c r="H48" i="4"/>
  <c r="D48" i="4"/>
  <c r="I28" i="4"/>
  <c r="I163" i="4" s="1"/>
  <c r="I168" i="4" s="1"/>
  <c r="G100" i="4"/>
  <c r="G28" i="4"/>
  <c r="E100" i="4"/>
  <c r="K100" i="4"/>
  <c r="L100" i="4"/>
  <c r="D100" i="4"/>
  <c r="C28" i="4"/>
  <c r="C163" i="4" s="1"/>
  <c r="C168" i="4" s="1"/>
  <c r="H28" i="4"/>
  <c r="H163" i="4" s="1"/>
  <c r="H168" i="4" s="1"/>
  <c r="H100" i="4"/>
  <c r="M100" i="4"/>
  <c r="M28" i="4"/>
  <c r="K28" i="4"/>
  <c r="J28" i="4"/>
  <c r="J163" i="4" s="1"/>
  <c r="J168" i="4" s="1"/>
  <c r="F28" i="4"/>
  <c r="L28" i="4"/>
  <c r="D28" i="4"/>
  <c r="E28" i="4"/>
  <c r="B26" i="4"/>
  <c r="G26" i="4"/>
  <c r="N98" i="4" l="1"/>
  <c r="N130" i="4" s="1"/>
  <c r="E14" i="3"/>
  <c r="M14" i="3"/>
  <c r="L14" i="3"/>
  <c r="F14" i="3"/>
  <c r="I14" i="3"/>
  <c r="K14" i="3"/>
  <c r="J14" i="3"/>
  <c r="Q13" i="3"/>
  <c r="T13" i="3" s="1"/>
  <c r="V13" i="3" s="1"/>
  <c r="G14" i="3"/>
  <c r="D106" i="1"/>
  <c r="N36" i="1"/>
  <c r="N35" i="1" s="1"/>
  <c r="N104" i="1" s="1"/>
  <c r="M72" i="2" s="1"/>
  <c r="N108" i="1"/>
  <c r="M75" i="2" s="1"/>
  <c r="O36" i="1"/>
  <c r="O35" i="1" s="1"/>
  <c r="O33" i="1" s="1"/>
  <c r="F36" i="1"/>
  <c r="F35" i="1" s="1"/>
  <c r="F9" i="3" s="1"/>
  <c r="J36" i="1"/>
  <c r="J35" i="1" s="1"/>
  <c r="J104" i="1" s="1"/>
  <c r="J136" i="1" s="1"/>
  <c r="J17" i="3" s="1"/>
  <c r="J18" i="3" s="1"/>
  <c r="D36" i="1"/>
  <c r="D35" i="1" s="1"/>
  <c r="D104" i="1" s="1"/>
  <c r="D11" i="3" s="1"/>
  <c r="F107" i="1"/>
  <c r="E73" i="2" s="1"/>
  <c r="C75" i="2"/>
  <c r="M36" i="1"/>
  <c r="M35" i="1" s="1"/>
  <c r="M104" i="1" s="1"/>
  <c r="M11" i="3" s="1"/>
  <c r="M12" i="3" s="1"/>
  <c r="I36" i="1"/>
  <c r="I35" i="1" s="1"/>
  <c r="I104" i="1" s="1"/>
  <c r="I11" i="3" s="1"/>
  <c r="I12" i="3" s="1"/>
  <c r="H36" i="1"/>
  <c r="H35" i="1" s="1"/>
  <c r="G44" i="2" s="1"/>
  <c r="M108" i="1"/>
  <c r="M106" i="1" s="1"/>
  <c r="K36" i="1"/>
  <c r="K35" i="1" s="1"/>
  <c r="K104" i="1" s="1"/>
  <c r="J72" i="2" s="1"/>
  <c r="E36" i="1"/>
  <c r="E35" i="1" s="1"/>
  <c r="E104" i="1" s="1"/>
  <c r="E11" i="3" s="1"/>
  <c r="E12" i="3" s="1"/>
  <c r="G36" i="1"/>
  <c r="G35" i="1" s="1"/>
  <c r="G104" i="1" s="1"/>
  <c r="F72" i="2" s="1"/>
  <c r="L36" i="1"/>
  <c r="L35" i="1" s="1"/>
  <c r="L9" i="3" s="1"/>
  <c r="D19" i="2"/>
  <c r="Q7" i="3"/>
  <c r="T7" i="3" s="1"/>
  <c r="V7" i="3" s="1"/>
  <c r="D22" i="2"/>
  <c r="C16" i="2"/>
  <c r="C35" i="2"/>
  <c r="C13" i="2"/>
  <c r="C10" i="2"/>
  <c r="C19" i="2"/>
  <c r="C31" i="2"/>
  <c r="C22" i="2"/>
  <c r="N33" i="2"/>
  <c r="N10" i="2"/>
  <c r="N31" i="2"/>
  <c r="N16" i="2"/>
  <c r="N35" i="2"/>
  <c r="N22" i="2"/>
  <c r="I106" i="1"/>
  <c r="H73" i="2"/>
  <c r="F22" i="2"/>
  <c r="F35" i="2"/>
  <c r="F31" i="2"/>
  <c r="F16" i="2"/>
  <c r="F13" i="2"/>
  <c r="F33" i="2"/>
  <c r="F19" i="2"/>
  <c r="F10" i="2"/>
  <c r="D30" i="5"/>
  <c r="G30" i="5" s="1"/>
  <c r="H19" i="5"/>
  <c r="G20" i="5"/>
  <c r="K19" i="5"/>
  <c r="O106" i="1"/>
  <c r="E13" i="2"/>
  <c r="E31" i="2"/>
  <c r="E16" i="2"/>
  <c r="E22" i="2"/>
  <c r="E10" i="2"/>
  <c r="E33" i="2"/>
  <c r="N13" i="2"/>
  <c r="I10" i="2"/>
  <c r="I22" i="2"/>
  <c r="I35" i="2"/>
  <c r="I33" i="2"/>
  <c r="I31" i="2"/>
  <c r="I19" i="2"/>
  <c r="I16" i="2"/>
  <c r="D20" i="5"/>
  <c r="G73" i="2"/>
  <c r="H106" i="1"/>
  <c r="J19" i="2"/>
  <c r="J35" i="2"/>
  <c r="J33" i="2"/>
  <c r="J22" i="2"/>
  <c r="J10" i="2"/>
  <c r="J16" i="2"/>
  <c r="J31" i="2"/>
  <c r="J13" i="2"/>
  <c r="H7" i="5"/>
  <c r="K7" i="5"/>
  <c r="E106" i="1"/>
  <c r="D73" i="2"/>
  <c r="E35" i="2"/>
  <c r="D23" i="5"/>
  <c r="J106" i="1"/>
  <c r="N19" i="2"/>
  <c r="E19" i="2"/>
  <c r="L19" i="2"/>
  <c r="L10" i="2"/>
  <c r="L22" i="2"/>
  <c r="L33" i="2"/>
  <c r="L35" i="2"/>
  <c r="L31" i="2"/>
  <c r="L106" i="1"/>
  <c r="K73" i="2"/>
  <c r="D14" i="3"/>
  <c r="G106" i="1"/>
  <c r="K106" i="1"/>
  <c r="J73" i="2"/>
  <c r="G33" i="2"/>
  <c r="G13" i="2"/>
  <c r="G35" i="2"/>
  <c r="G31" i="2"/>
  <c r="G19" i="2"/>
  <c r="G10" i="2"/>
  <c r="G23" i="5"/>
  <c r="K22" i="5"/>
  <c r="H22" i="5"/>
  <c r="K13" i="2"/>
  <c r="K35" i="2"/>
  <c r="K19" i="2"/>
  <c r="K16" i="2"/>
  <c r="K33" i="2"/>
  <c r="K22" i="2"/>
  <c r="D17" i="5"/>
  <c r="G16" i="5"/>
  <c r="L16" i="2"/>
  <c r="Y137" i="4"/>
  <c r="K10" i="2"/>
  <c r="H33" i="2"/>
  <c r="H31" i="2"/>
  <c r="H19" i="2"/>
  <c r="H35" i="2"/>
  <c r="H13" i="2"/>
  <c r="H22" i="2"/>
  <c r="H10" i="2"/>
  <c r="H16" i="2"/>
  <c r="M31" i="2"/>
  <c r="M35" i="2"/>
  <c r="M16" i="2"/>
  <c r="M13" i="2"/>
  <c r="M19" i="2"/>
  <c r="M22" i="2"/>
  <c r="M10" i="2"/>
  <c r="G22" i="2"/>
  <c r="D13" i="2"/>
  <c r="D33" i="2"/>
  <c r="D31" i="2"/>
  <c r="D16" i="2"/>
  <c r="D10" i="2"/>
  <c r="V98" i="4"/>
  <c r="V130" i="4" s="1"/>
  <c r="AK138" i="4"/>
  <c r="U163" i="4"/>
  <c r="U168" i="4" s="1"/>
  <c r="M134" i="4"/>
  <c r="M138" i="4" s="1"/>
  <c r="O28" i="4"/>
  <c r="O98" i="4" s="1"/>
  <c r="K98" i="4"/>
  <c r="K163" i="4"/>
  <c r="K168" i="4" s="1"/>
  <c r="Y134" i="4"/>
  <c r="Y138" i="4" s="1"/>
  <c r="E98" i="4"/>
  <c r="E163" i="4"/>
  <c r="E168" i="4" s="1"/>
  <c r="D98" i="4"/>
  <c r="D130" i="4" s="1"/>
  <c r="D163" i="4"/>
  <c r="D168" i="4" s="1"/>
  <c r="G98" i="4"/>
  <c r="G130" i="4" s="1"/>
  <c r="G163" i="4"/>
  <c r="G168" i="4" s="1"/>
  <c r="F98" i="4"/>
  <c r="F130" i="4" s="1"/>
  <c r="F163" i="4"/>
  <c r="F168" i="4" s="1"/>
  <c r="M27" i="4"/>
  <c r="M163" i="4"/>
  <c r="M168" i="4" s="1"/>
  <c r="L98" i="4"/>
  <c r="L130" i="4" s="1"/>
  <c r="L163" i="4"/>
  <c r="L168" i="4" s="1"/>
  <c r="B98" i="4"/>
  <c r="B130" i="4" s="1"/>
  <c r="B163" i="4"/>
  <c r="B168" i="4" s="1"/>
  <c r="N168" i="4"/>
  <c r="H105" i="3"/>
  <c r="W30" i="4"/>
  <c r="W28" i="4"/>
  <c r="X163" i="4"/>
  <c r="X168" i="4" s="1"/>
  <c r="H101" i="3"/>
  <c r="AJ100" i="4"/>
  <c r="F113" i="3"/>
  <c r="P98" i="4"/>
  <c r="P130" i="4" s="1"/>
  <c r="H97" i="3"/>
  <c r="H113" i="3"/>
  <c r="I93" i="3"/>
  <c r="T163" i="4"/>
  <c r="T168" i="4" s="1"/>
  <c r="M101" i="3"/>
  <c r="AI101" i="4"/>
  <c r="AI100" i="4" s="1"/>
  <c r="AI30" i="4"/>
  <c r="AI28" i="4"/>
  <c r="AB163" i="4"/>
  <c r="AB168" i="4" s="1"/>
  <c r="AB98" i="4"/>
  <c r="AB130" i="4" s="1"/>
  <c r="AJ163" i="4"/>
  <c r="AJ168" i="4" s="1"/>
  <c r="AJ98" i="4"/>
  <c r="AJ130" i="4" s="1"/>
  <c r="AA101" i="4"/>
  <c r="AA100" i="4" s="1"/>
  <c r="AA28" i="4"/>
  <c r="AA30" i="4"/>
  <c r="AK27" i="4"/>
  <c r="AK26" i="4" s="1"/>
  <c r="AK163" i="4"/>
  <c r="AK168" i="4" s="1"/>
  <c r="AK98" i="4"/>
  <c r="AE30" i="4"/>
  <c r="AE101" i="4"/>
  <c r="AE100" i="4" s="1"/>
  <c r="AE28" i="4"/>
  <c r="AB100" i="4"/>
  <c r="Y27" i="4"/>
  <c r="Y26" i="4" s="1"/>
  <c r="Y163" i="4"/>
  <c r="Y168" i="4" s="1"/>
  <c r="R28" i="4"/>
  <c r="Z163" i="4"/>
  <c r="Z168" i="4" s="1"/>
  <c r="Z98" i="4"/>
  <c r="Z130" i="4" s="1"/>
  <c r="AG100" i="4"/>
  <c r="S101" i="4"/>
  <c r="S100" i="4" s="1"/>
  <c r="S30" i="4"/>
  <c r="S28" i="4"/>
  <c r="R30" i="4"/>
  <c r="AG163" i="4"/>
  <c r="AG168" i="4" s="1"/>
  <c r="AG98" i="4"/>
  <c r="AG130" i="4" s="1"/>
  <c r="AH163" i="4"/>
  <c r="AH168" i="4" s="1"/>
  <c r="AH98" i="4"/>
  <c r="AH130" i="4" s="1"/>
  <c r="Q163" i="4"/>
  <c r="Q168" i="4" s="1"/>
  <c r="AF163" i="4"/>
  <c r="AF168" i="4" s="1"/>
  <c r="AF98" i="4"/>
  <c r="AF130" i="4" s="1"/>
  <c r="AC163" i="4"/>
  <c r="AC168" i="4" s="1"/>
  <c r="AC98" i="4"/>
  <c r="AC130" i="4" s="1"/>
  <c r="AD104" i="4"/>
  <c r="AD100" i="4" s="1"/>
  <c r="AD28" i="4"/>
  <c r="AD30" i="4"/>
  <c r="F105" i="3"/>
  <c r="I105" i="3"/>
  <c r="F109" i="3"/>
  <c r="H109" i="3"/>
  <c r="L109" i="3"/>
  <c r="K109" i="3"/>
  <c r="J101" i="3"/>
  <c r="F97" i="3"/>
  <c r="I97" i="3"/>
  <c r="Y130" i="4"/>
  <c r="Y97" i="4"/>
  <c r="O93" i="3"/>
  <c r="E113" i="3"/>
  <c r="F101" i="3"/>
  <c r="P113" i="3"/>
  <c r="M105" i="3"/>
  <c r="H93" i="3"/>
  <c r="N113" i="3"/>
  <c r="W98" i="4"/>
  <c r="W130" i="4" s="1"/>
  <c r="W163" i="4"/>
  <c r="W168" i="4" s="1"/>
  <c r="J93" i="3"/>
  <c r="J105" i="3"/>
  <c r="K93" i="3"/>
  <c r="E101" i="3"/>
  <c r="E93" i="3"/>
  <c r="E97" i="3"/>
  <c r="I109" i="3"/>
  <c r="E105" i="3"/>
  <c r="E109" i="3"/>
  <c r="J97" i="3"/>
  <c r="I113" i="3"/>
  <c r="L93" i="3"/>
  <c r="N109" i="3"/>
  <c r="L105" i="3"/>
  <c r="N105" i="3"/>
  <c r="L101" i="3"/>
  <c r="K97" i="3"/>
  <c r="N97" i="3"/>
  <c r="N93" i="3"/>
  <c r="K101" i="3"/>
  <c r="K113" i="3"/>
  <c r="K105" i="3"/>
  <c r="P93" i="3"/>
  <c r="P101" i="3"/>
  <c r="P105" i="3"/>
  <c r="P97" i="3"/>
  <c r="N101" i="3"/>
  <c r="P109" i="3"/>
  <c r="L113" i="3"/>
  <c r="J109" i="3"/>
  <c r="L97" i="3"/>
  <c r="J113" i="3"/>
  <c r="M113" i="3"/>
  <c r="M97" i="3"/>
  <c r="M109" i="3"/>
  <c r="M93" i="3"/>
  <c r="G109" i="3"/>
  <c r="G105" i="3"/>
  <c r="G101" i="3"/>
  <c r="G113" i="3"/>
  <c r="G97" i="3"/>
  <c r="G93" i="3"/>
  <c r="O105" i="3"/>
  <c r="O109" i="3"/>
  <c r="O113" i="3"/>
  <c r="O97" i="3"/>
  <c r="O101" i="3"/>
  <c r="C26" i="4"/>
  <c r="C98" i="4"/>
  <c r="C130" i="4" s="1"/>
  <c r="J98" i="4"/>
  <c r="J130" i="4" s="1"/>
  <c r="H26" i="4"/>
  <c r="H98" i="4"/>
  <c r="H130" i="4" s="1"/>
  <c r="I26" i="4"/>
  <c r="I98" i="4"/>
  <c r="I130" i="4" s="1"/>
  <c r="M26" i="4"/>
  <c r="M98" i="4"/>
  <c r="F26" i="4"/>
  <c r="K26" i="4"/>
  <c r="K130" i="4"/>
  <c r="L26" i="4"/>
  <c r="J26" i="4"/>
  <c r="D26" i="4"/>
  <c r="E26" i="4"/>
  <c r="E130" i="4"/>
  <c r="N106" i="1" l="1"/>
  <c r="E44" i="2"/>
  <c r="J9" i="3"/>
  <c r="N11" i="3"/>
  <c r="N12" i="3" s="1"/>
  <c r="N136" i="1"/>
  <c r="N17" i="3" s="1"/>
  <c r="N18" i="3" s="1"/>
  <c r="F33" i="1"/>
  <c r="I44" i="2"/>
  <c r="I46" i="2" s="1"/>
  <c r="J33" i="1"/>
  <c r="F106" i="1"/>
  <c r="F104" i="1"/>
  <c r="M44" i="2"/>
  <c r="M46" i="2" s="1"/>
  <c r="N33" i="1"/>
  <c r="D33" i="1"/>
  <c r="L75" i="2"/>
  <c r="N9" i="3"/>
  <c r="O90" i="3" s="1"/>
  <c r="O116" i="3" s="1"/>
  <c r="D136" i="1"/>
  <c r="D17" i="3" s="1"/>
  <c r="C72" i="2"/>
  <c r="C76" i="2" s="1"/>
  <c r="I72" i="2"/>
  <c r="I80" i="2" s="1"/>
  <c r="N44" i="2"/>
  <c r="N50" i="2" s="1"/>
  <c r="O9" i="3"/>
  <c r="O10" i="3" s="1"/>
  <c r="O104" i="1"/>
  <c r="O136" i="1" s="1"/>
  <c r="O17" i="3" s="1"/>
  <c r="O18" i="3" s="1"/>
  <c r="J11" i="3"/>
  <c r="J12" i="3" s="1"/>
  <c r="H104" i="1"/>
  <c r="H136" i="1" s="1"/>
  <c r="H17" i="3" s="1"/>
  <c r="H18" i="3" s="1"/>
  <c r="L44" i="2"/>
  <c r="L46" i="2" s="1"/>
  <c r="M136" i="1"/>
  <c r="M17" i="3" s="1"/>
  <c r="M18" i="3" s="1"/>
  <c r="H33" i="1"/>
  <c r="L72" i="2"/>
  <c r="M9" i="3"/>
  <c r="N90" i="3" s="1"/>
  <c r="N116" i="3" s="1"/>
  <c r="C44" i="2"/>
  <c r="C50" i="2" s="1"/>
  <c r="D9" i="3"/>
  <c r="D10" i="3" s="1"/>
  <c r="E136" i="1"/>
  <c r="E17" i="3" s="1"/>
  <c r="E18" i="3" s="1"/>
  <c r="D72" i="2"/>
  <c r="D78" i="2" s="1"/>
  <c r="H9" i="3"/>
  <c r="H10" i="3" s="1"/>
  <c r="G136" i="1"/>
  <c r="G17" i="3" s="1"/>
  <c r="G18" i="3" s="1"/>
  <c r="I136" i="1"/>
  <c r="I17" i="3" s="1"/>
  <c r="I18" i="3" s="1"/>
  <c r="H72" i="2"/>
  <c r="H76" i="2" s="1"/>
  <c r="G11" i="3"/>
  <c r="G12" i="3" s="1"/>
  <c r="L104" i="1"/>
  <c r="K72" i="2" s="1"/>
  <c r="K74" i="2" s="1"/>
  <c r="K44" i="2"/>
  <c r="K50" i="2" s="1"/>
  <c r="L33" i="1"/>
  <c r="J44" i="2"/>
  <c r="J46" i="2" s="1"/>
  <c r="K11" i="3"/>
  <c r="K12" i="3" s="1"/>
  <c r="D10" i="5"/>
  <c r="D31" i="5" s="1"/>
  <c r="E33" i="1"/>
  <c r="K9" i="3"/>
  <c r="L90" i="3" s="1"/>
  <c r="L116" i="3" s="1"/>
  <c r="K136" i="1"/>
  <c r="K17" i="3" s="1"/>
  <c r="K18" i="3" s="1"/>
  <c r="D44" i="2"/>
  <c r="D48" i="2" s="1"/>
  <c r="M33" i="1"/>
  <c r="K33" i="1"/>
  <c r="G9" i="3"/>
  <c r="H90" i="3" s="1"/>
  <c r="H116" i="3" s="1"/>
  <c r="G33" i="1"/>
  <c r="E9" i="3"/>
  <c r="H44" i="2"/>
  <c r="H50" i="2" s="1"/>
  <c r="F44" i="2"/>
  <c r="F48" i="2" s="1"/>
  <c r="I9" i="3"/>
  <c r="J90" i="3" s="1"/>
  <c r="J116" i="3" s="1"/>
  <c r="I33" i="1"/>
  <c r="J74" i="2"/>
  <c r="S13" i="3"/>
  <c r="K90" i="3"/>
  <c r="K116" i="3" s="1"/>
  <c r="J10" i="3"/>
  <c r="H30" i="5"/>
  <c r="K30" i="5"/>
  <c r="D12" i="3"/>
  <c r="M7" i="5"/>
  <c r="L7" i="5"/>
  <c r="O163" i="4"/>
  <c r="O168" i="4" s="1"/>
  <c r="F80" i="2"/>
  <c r="F82" i="2"/>
  <c r="F74" i="2"/>
  <c r="F78" i="2"/>
  <c r="G90" i="3"/>
  <c r="G116" i="3" s="1"/>
  <c r="F10" i="3"/>
  <c r="M74" i="2"/>
  <c r="M78" i="2"/>
  <c r="M82" i="2"/>
  <c r="M80" i="2"/>
  <c r="I50" i="2"/>
  <c r="I48" i="2"/>
  <c r="G17" i="5"/>
  <c r="H16" i="5"/>
  <c r="K16" i="5"/>
  <c r="J80" i="2"/>
  <c r="J82" i="2"/>
  <c r="J76" i="2"/>
  <c r="J78" i="2"/>
  <c r="F76" i="2"/>
  <c r="M76" i="2"/>
  <c r="G48" i="2"/>
  <c r="G50" i="2"/>
  <c r="G46" i="2"/>
  <c r="F136" i="1"/>
  <c r="F17" i="3" s="1"/>
  <c r="F18" i="3" s="1"/>
  <c r="F11" i="3"/>
  <c r="F12" i="3" s="1"/>
  <c r="E72" i="2"/>
  <c r="E74" i="2" s="1"/>
  <c r="E50" i="2"/>
  <c r="E46" i="2"/>
  <c r="E48" i="2"/>
  <c r="K20" i="5"/>
  <c r="L19" i="5"/>
  <c r="M19" i="5"/>
  <c r="K23" i="5"/>
  <c r="M22" i="5"/>
  <c r="L22" i="5"/>
  <c r="M90" i="3"/>
  <c r="M116" i="3" s="1"/>
  <c r="L10" i="3"/>
  <c r="AM138" i="4"/>
  <c r="AM134" i="4"/>
  <c r="AL134" i="4"/>
  <c r="AD163" i="4"/>
  <c r="AD168" i="4" s="1"/>
  <c r="AD98" i="4"/>
  <c r="AD130" i="4" s="1"/>
  <c r="AE163" i="4"/>
  <c r="AE168" i="4" s="1"/>
  <c r="AE98" i="4"/>
  <c r="AE130" i="4" s="1"/>
  <c r="AK130" i="4"/>
  <c r="AK97" i="4"/>
  <c r="R98" i="4"/>
  <c r="R130" i="4" s="1"/>
  <c r="R163" i="4"/>
  <c r="R168" i="4" s="1"/>
  <c r="AI163" i="4"/>
  <c r="AI168" i="4" s="1"/>
  <c r="AI98" i="4"/>
  <c r="AI130" i="4" s="1"/>
  <c r="S163" i="4"/>
  <c r="S168" i="4" s="1"/>
  <c r="S98" i="4"/>
  <c r="S130" i="4" s="1"/>
  <c r="AA163" i="4"/>
  <c r="AA168" i="4" s="1"/>
  <c r="AA98" i="4"/>
  <c r="AA130" i="4" s="1"/>
  <c r="M130" i="4"/>
  <c r="M131" i="4" s="1"/>
  <c r="M97" i="4"/>
  <c r="Y131" i="4"/>
  <c r="N10" i="3" l="1"/>
  <c r="I78" i="2"/>
  <c r="I74" i="2"/>
  <c r="I76" i="2"/>
  <c r="L76" i="2"/>
  <c r="M48" i="2"/>
  <c r="M50" i="2"/>
  <c r="C82" i="2"/>
  <c r="C80" i="2"/>
  <c r="C78" i="2"/>
  <c r="C74" i="2"/>
  <c r="N46" i="2"/>
  <c r="L50" i="2"/>
  <c r="K48" i="2"/>
  <c r="N72" i="2"/>
  <c r="N74" i="2" s="1"/>
  <c r="L48" i="2"/>
  <c r="F50" i="2"/>
  <c r="G72" i="2"/>
  <c r="G74" i="2" s="1"/>
  <c r="P90" i="3"/>
  <c r="P116" i="3" s="1"/>
  <c r="N48" i="2"/>
  <c r="H11" i="3"/>
  <c r="H12" i="3" s="1"/>
  <c r="I82" i="2"/>
  <c r="L78" i="2"/>
  <c r="M10" i="3"/>
  <c r="L80" i="2"/>
  <c r="L82" i="2"/>
  <c r="L74" i="2"/>
  <c r="C48" i="2"/>
  <c r="O11" i="3"/>
  <c r="O12" i="3" s="1"/>
  <c r="I90" i="3"/>
  <c r="I116" i="3" s="1"/>
  <c r="C46" i="2"/>
  <c r="E90" i="3"/>
  <c r="E116" i="3" s="1"/>
  <c r="K46" i="2"/>
  <c r="F46" i="2"/>
  <c r="D74" i="2"/>
  <c r="D13" i="5"/>
  <c r="D14" i="5" s="1"/>
  <c r="D82" i="2"/>
  <c r="D80" i="2"/>
  <c r="D76" i="2"/>
  <c r="H78" i="2"/>
  <c r="H82" i="2"/>
  <c r="H80" i="2"/>
  <c r="H74" i="2"/>
  <c r="G10" i="3"/>
  <c r="G10" i="5"/>
  <c r="G31" i="5" s="1"/>
  <c r="H31" i="5" s="1"/>
  <c r="L136" i="1"/>
  <c r="L17" i="3" s="1"/>
  <c r="L18" i="3" s="1"/>
  <c r="L11" i="3"/>
  <c r="L12" i="3" s="1"/>
  <c r="J48" i="2"/>
  <c r="Q9" i="3"/>
  <c r="T9" i="3" s="1"/>
  <c r="V9" i="3" s="1"/>
  <c r="V11" i="3" s="1"/>
  <c r="V17" i="3" s="1"/>
  <c r="I10" i="3"/>
  <c r="J50" i="2"/>
  <c r="K10" i="3"/>
  <c r="H46" i="2"/>
  <c r="H48" i="2"/>
  <c r="D50" i="2"/>
  <c r="D46" i="2"/>
  <c r="D11" i="5"/>
  <c r="E10" i="3"/>
  <c r="F90" i="3"/>
  <c r="F116" i="3" s="1"/>
  <c r="AK140" i="4"/>
  <c r="M16" i="5"/>
  <c r="L16" i="5"/>
  <c r="K17" i="5"/>
  <c r="D18" i="3"/>
  <c r="L30" i="5"/>
  <c r="M30" i="5"/>
  <c r="K82" i="2"/>
  <c r="K80" i="2"/>
  <c r="K76" i="2"/>
  <c r="K78" i="2"/>
  <c r="E80" i="2"/>
  <c r="E76" i="2"/>
  <c r="E78" i="2"/>
  <c r="E82" i="2"/>
  <c r="Y140" i="4"/>
  <c r="M140" i="4"/>
  <c r="Y142" i="4"/>
  <c r="AK142" i="4"/>
  <c r="AK131" i="4"/>
  <c r="U13" i="3"/>
  <c r="AM140" i="4" l="1"/>
  <c r="N82" i="2"/>
  <c r="N76" i="2"/>
  <c r="N80" i="2"/>
  <c r="N78" i="2"/>
  <c r="G76" i="2"/>
  <c r="G80" i="2"/>
  <c r="G78" i="2"/>
  <c r="G82" i="2"/>
  <c r="Q11" i="3"/>
  <c r="S11" i="3" s="1"/>
  <c r="D25" i="5"/>
  <c r="D26" i="5" s="1"/>
  <c r="H10" i="5"/>
  <c r="Q17" i="3"/>
  <c r="S17" i="3" s="1"/>
  <c r="G13" i="5"/>
  <c r="H13" i="5" s="1"/>
  <c r="S9" i="3"/>
  <c r="G11" i="5"/>
  <c r="K10" i="5"/>
  <c r="K11" i="5" s="1"/>
  <c r="AL140" i="4"/>
  <c r="T11" i="3"/>
  <c r="U9" i="3"/>
  <c r="K31" i="5" l="1"/>
  <c r="L31" i="5" s="1"/>
  <c r="L10" i="5"/>
  <c r="M10" i="5"/>
  <c r="K13" i="5"/>
  <c r="K14" i="5" s="1"/>
  <c r="G25" i="5"/>
  <c r="H25" i="5" s="1"/>
  <c r="V20" i="3"/>
  <c r="G14" i="5"/>
  <c r="L13" i="5"/>
  <c r="K25" i="5"/>
  <c r="U11" i="3"/>
  <c r="T17" i="3"/>
  <c r="M13" i="5" l="1"/>
  <c r="M31" i="5"/>
  <c r="G26" i="5"/>
  <c r="M25" i="5"/>
  <c r="L25" i="5"/>
  <c r="K26" i="5"/>
  <c r="T18" i="3"/>
  <c r="V18" i="3"/>
</calcChain>
</file>

<file path=xl/sharedStrings.xml><?xml version="1.0" encoding="utf-8"?>
<sst xmlns="http://schemas.openxmlformats.org/spreadsheetml/2006/main" count="437" uniqueCount="156">
  <si>
    <t>Planilha de Lucros e Perdas</t>
  </si>
  <si>
    <t>Descrição</t>
  </si>
  <si>
    <t>jan</t>
  </si>
  <si>
    <t>fev</t>
  </si>
  <si>
    <t>mar</t>
  </si>
  <si>
    <t>abr</t>
  </si>
  <si>
    <t>mai</t>
  </si>
  <si>
    <t>jun</t>
  </si>
  <si>
    <t>jul</t>
  </si>
  <si>
    <t>ago</t>
  </si>
  <si>
    <t>set</t>
  </si>
  <si>
    <t>out</t>
  </si>
  <si>
    <t>nov</t>
  </si>
  <si>
    <t>dez</t>
  </si>
  <si>
    <t>Receita Liquida</t>
  </si>
  <si>
    <t>area</t>
  </si>
  <si>
    <t>Aparecida</t>
  </si>
  <si>
    <t>Caçapava</t>
  </si>
  <si>
    <t>Jacarei</t>
  </si>
  <si>
    <t>SJC</t>
  </si>
  <si>
    <t>Taubaté</t>
  </si>
  <si>
    <t>canais</t>
  </si>
  <si>
    <t>diretas</t>
  </si>
  <si>
    <t>e-comerce</t>
  </si>
  <si>
    <t>representantes</t>
  </si>
  <si>
    <t>produtos</t>
  </si>
  <si>
    <t>qualificação</t>
  </si>
  <si>
    <t>Custo das Mercadorias vendidas</t>
  </si>
  <si>
    <t>custo das mercadorias vendidas</t>
  </si>
  <si>
    <t>Materiais</t>
  </si>
  <si>
    <t>mão de obra direta</t>
  </si>
  <si>
    <t>custos indiretos</t>
  </si>
  <si>
    <t>Lucro Bruto</t>
  </si>
  <si>
    <t>lucro bruto por familia</t>
  </si>
  <si>
    <t>Despesas Administrativas e Comerciais</t>
  </si>
  <si>
    <t>despesas administrativas</t>
  </si>
  <si>
    <t>contas a pagar e receber</t>
  </si>
  <si>
    <t>contabilidade</t>
  </si>
  <si>
    <t>ti / telefonia</t>
  </si>
  <si>
    <t>Logistica</t>
  </si>
  <si>
    <t>Salarios e encargos ADM</t>
  </si>
  <si>
    <t>despesas comerciais</t>
  </si>
  <si>
    <t>despesas de representantes</t>
  </si>
  <si>
    <t>despesas de distribuidores</t>
  </si>
  <si>
    <t>marketing</t>
  </si>
  <si>
    <t>comissões</t>
  </si>
  <si>
    <t>salarios e encargos comercial</t>
  </si>
  <si>
    <t>Outras despesas / receitas</t>
  </si>
  <si>
    <t>despesas bancárias</t>
  </si>
  <si>
    <t>receitas de aplicações</t>
  </si>
  <si>
    <t>Lucro Liquido</t>
  </si>
  <si>
    <t>Estoques</t>
  </si>
  <si>
    <t>Descrisão</t>
  </si>
  <si>
    <t>Receita Total</t>
  </si>
  <si>
    <t>Receita por Área</t>
  </si>
  <si>
    <t>% AP  / Total</t>
  </si>
  <si>
    <t>% CP/ Total</t>
  </si>
  <si>
    <t>% JC / Total</t>
  </si>
  <si>
    <t>% SJC / Total</t>
  </si>
  <si>
    <t>% TE/ Total</t>
  </si>
  <si>
    <t>% vendas diretas / total</t>
  </si>
  <si>
    <t>% Vendas e-comerce / total</t>
  </si>
  <si>
    <t>% representantes / Total</t>
  </si>
  <si>
    <t>Materiais / CMV</t>
  </si>
  <si>
    <t>MOD / CMV</t>
  </si>
  <si>
    <t>CI / CMV</t>
  </si>
  <si>
    <t>LB fam1 / LB</t>
  </si>
  <si>
    <t>LB fam2 / LB</t>
  </si>
  <si>
    <t>LB fam 3 / LB</t>
  </si>
  <si>
    <t>LB fam 4 / LB</t>
  </si>
  <si>
    <t>LB fam 5 / LB</t>
  </si>
  <si>
    <t>ano 0</t>
  </si>
  <si>
    <t>ano 1</t>
  </si>
  <si>
    <t>ano 2</t>
  </si>
  <si>
    <t>RL</t>
  </si>
  <si>
    <t>CMV</t>
  </si>
  <si>
    <t>CMV/RL</t>
  </si>
  <si>
    <t>CMV / RL</t>
  </si>
  <si>
    <t>LB</t>
  </si>
  <si>
    <t>LB/RL</t>
  </si>
  <si>
    <t>LB / RL</t>
  </si>
  <si>
    <t>DAC</t>
  </si>
  <si>
    <t>DAC/RL</t>
  </si>
  <si>
    <t>DAC / RL</t>
  </si>
  <si>
    <t>outras</t>
  </si>
  <si>
    <t>LL</t>
  </si>
  <si>
    <t>LL/RL</t>
  </si>
  <si>
    <t>LL / RL</t>
  </si>
  <si>
    <t>Estoques mensais</t>
  </si>
  <si>
    <t>% conj 1 / E</t>
  </si>
  <si>
    <t>% conj 2 / E</t>
  </si>
  <si>
    <t>% conj 3 / E</t>
  </si>
  <si>
    <t>% conj 4 / E</t>
  </si>
  <si>
    <t>% conj 5 / E</t>
  </si>
  <si>
    <t>giros de estoque anual sobre RL</t>
  </si>
  <si>
    <t>(RL*12)/E</t>
  </si>
  <si>
    <t>giros de estoque anual sobre CMV</t>
  </si>
  <si>
    <t>(CMV*12)/E</t>
  </si>
  <si>
    <t>ANO ZERO</t>
  </si>
  <si>
    <t>ANO 1</t>
  </si>
  <si>
    <t>ANO 2</t>
  </si>
  <si>
    <t>composição do custo</t>
  </si>
  <si>
    <t>sobre  ano 1</t>
  </si>
  <si>
    <t>sobre ano 0</t>
  </si>
  <si>
    <t>RL anual</t>
  </si>
  <si>
    <t>CMV anual</t>
  </si>
  <si>
    <t>Estoque medio mensal</t>
  </si>
  <si>
    <t>Giro de RL anual / Estoque medio anual</t>
  </si>
  <si>
    <t>Giro de CMV anual / Estoque medio anual</t>
  </si>
  <si>
    <t>LL anual</t>
  </si>
  <si>
    <t>E</t>
  </si>
  <si>
    <t>giros RL</t>
  </si>
  <si>
    <t>giros CMV</t>
  </si>
  <si>
    <t>S</t>
  </si>
  <si>
    <t>Despesas Administrativas</t>
  </si>
  <si>
    <t>Despesas Comerciais</t>
  </si>
  <si>
    <t>DA / RL</t>
  </si>
  <si>
    <t>DC / RL</t>
  </si>
  <si>
    <t>or / RL</t>
  </si>
  <si>
    <t xml:space="preserve">LL / RL </t>
  </si>
  <si>
    <t>giro medio sobre CMV</t>
  </si>
  <si>
    <t>ano zero</t>
  </si>
  <si>
    <t>evolução % para ano 1</t>
  </si>
  <si>
    <t>fator</t>
  </si>
  <si>
    <t>ano 1 / ano zero</t>
  </si>
  <si>
    <t>evolução % para ano 2</t>
  </si>
  <si>
    <t>ano 2 / ano 1</t>
  </si>
  <si>
    <t>ano 2 / ano zero</t>
  </si>
  <si>
    <t>META em 2 anos</t>
  </si>
  <si>
    <t>SIMULAÇÃO para próximos 2 anos</t>
  </si>
  <si>
    <t>Conjunto 1 Quarto</t>
  </si>
  <si>
    <t>Conjunto 2 Cozinha</t>
  </si>
  <si>
    <t>Conjunto 3 Sala</t>
  </si>
  <si>
    <t>Conjunto 4 Escritório</t>
  </si>
  <si>
    <t>Conjunto 5 Banheiro</t>
  </si>
  <si>
    <t>Cama</t>
  </si>
  <si>
    <t>Guarda Roupas</t>
  </si>
  <si>
    <t>Armário</t>
  </si>
  <si>
    <t>Mesa</t>
  </si>
  <si>
    <t>Sofá</t>
  </si>
  <si>
    <t>Painel</t>
  </si>
  <si>
    <t>Mesa de Escritório</t>
  </si>
  <si>
    <t>Cadeira</t>
  </si>
  <si>
    <t>Gabinete</t>
  </si>
  <si>
    <t>Armarinho</t>
  </si>
  <si>
    <t>Guarda Roupas (15%)</t>
  </si>
  <si>
    <t>Cama (10%)</t>
  </si>
  <si>
    <t>Armário (12%)</t>
  </si>
  <si>
    <t>Mesa (10%)</t>
  </si>
  <si>
    <t>Painel (10%)</t>
  </si>
  <si>
    <t>Mesa de Escritório (9%)</t>
  </si>
  <si>
    <t>Cadeira (7%)</t>
  </si>
  <si>
    <t>Gabinete (8%)</t>
  </si>
  <si>
    <t>Armarinho (7%)</t>
  </si>
  <si>
    <t>Sofá (12%)</t>
  </si>
  <si>
    <t xml:space="preserve"> R$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</si>
</sst>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8" formatCode="&quot;R$&quot;\ #,##0.00;[Red]\-&quot;R$&quot;\ #,##0.00"/>
    <numFmt numFmtId="44" formatCode="_-&quot;R$&quot;\ * #,##0.00_-;\-&quot;R$&quot;\ * #,##0.00_-;_-&quot;R$&quot;\ * &quot;-&quot;??_-;_-@_-"/>
    <numFmt numFmtId="164" formatCode="_-[$R$-416]\ * #,##0.00_-;\-[$R$-416]\ * #,##0.00_-;_-[$R$-416]\ * &quot;-&quot;??_-;_-@_-"/>
    <numFmt numFmtId="165" formatCode="0.0%"/>
    <numFmt numFmtId="166" formatCode="0.0"/>
    <numFmt numFmtId="167" formatCode="0.000"/>
  </numFmts>
  <fonts count="23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1"/>
      <color indexed="10"/>
      <name val="Calibri"/>
      <family val="2"/>
    </font>
    <font>
      <b/>
      <sz val="11"/>
      <color indexed="8"/>
      <name val="Calibri"/>
      <family val="2"/>
    </font>
    <font>
      <sz val="8"/>
      <name val="Calibri"/>
      <family val="2"/>
    </font>
    <font>
      <sz val="11"/>
      <color theme="1"/>
      <name val="Calibri"/>
      <family val="2"/>
      <scheme val="minor"/>
    </font>
    <font>
      <sz val="10"/>
      <name val="Calibri"/>
      <family val="2"/>
    </font>
    <font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</font>
    <font>
      <sz val="11"/>
      <color rgb="FFFF0000"/>
      <name val="Calibri"/>
      <family val="2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color rgb="FF00B050"/>
      <name val="Calibri"/>
      <family val="2"/>
      <scheme val="minor"/>
    </font>
    <font>
      <sz val="11"/>
      <color rgb="FF00B050"/>
      <name val="Calibri"/>
      <family val="2"/>
      <scheme val="minor"/>
    </font>
    <font>
      <sz val="10"/>
      <color rgb="FF00B05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1"/>
      <color indexed="10"/>
      <name val="Calibri"/>
      <family val="2"/>
    </font>
    <font>
      <b/>
      <sz val="16"/>
      <color rgb="FFFF0000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16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8" tint="0.39997558519241921"/>
        <bgColor rgb="FF000000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66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5" fillId="0" borderId="0" applyFont="0" applyFill="0" applyBorder="0" applyAlignment="0" applyProtection="0"/>
  </cellStyleXfs>
  <cellXfs count="174">
    <xf numFmtId="0" fontId="0" fillId="0" borderId="0" xfId="0"/>
    <xf numFmtId="0" fontId="0" fillId="0" borderId="0" xfId="0" applyAlignment="1">
      <alignment horizontal="center"/>
    </xf>
    <xf numFmtId="0" fontId="3" fillId="0" borderId="0" xfId="0" applyFont="1"/>
    <xf numFmtId="0" fontId="3" fillId="0" borderId="1" xfId="0" applyFont="1" applyBorder="1" applyAlignment="1">
      <alignment horizontal="center"/>
    </xf>
    <xf numFmtId="0" fontId="0" fillId="0" borderId="0" xfId="0" applyAlignment="1">
      <alignment horizontal="right"/>
    </xf>
    <xf numFmtId="0" fontId="0" fillId="2" borderId="0" xfId="0" applyFill="1" applyAlignment="1">
      <alignment horizontal="right"/>
    </xf>
    <xf numFmtId="164" fontId="0" fillId="0" borderId="0" xfId="0" applyNumberFormat="1"/>
    <xf numFmtId="0" fontId="3" fillId="3" borderId="0" xfId="0" applyFont="1" applyFill="1"/>
    <xf numFmtId="44" fontId="0" fillId="0" borderId="0" xfId="1" applyFont="1"/>
    <xf numFmtId="44" fontId="3" fillId="0" borderId="1" xfId="1" applyFont="1" applyBorder="1" applyAlignment="1">
      <alignment horizontal="center"/>
    </xf>
    <xf numFmtId="44" fontId="3" fillId="3" borderId="0" xfId="1" applyFont="1" applyFill="1"/>
    <xf numFmtId="44" fontId="0" fillId="2" borderId="0" xfId="1" applyFont="1" applyFill="1"/>
    <xf numFmtId="44" fontId="0" fillId="4" borderId="0" xfId="1" applyFont="1" applyFill="1"/>
    <xf numFmtId="44" fontId="2" fillId="5" borderId="0" xfId="1" applyFont="1" applyFill="1"/>
    <xf numFmtId="44" fontId="2" fillId="0" borderId="0" xfId="1" applyFont="1"/>
    <xf numFmtId="44" fontId="0" fillId="0" borderId="0" xfId="0" applyNumberFormat="1"/>
    <xf numFmtId="165" fontId="0" fillId="0" borderId="0" xfId="2" applyNumberFormat="1" applyFont="1"/>
    <xf numFmtId="165" fontId="0" fillId="0" borderId="0" xfId="0" applyNumberFormat="1"/>
    <xf numFmtId="0" fontId="0" fillId="6" borderId="0" xfId="0" applyFill="1" applyAlignment="1">
      <alignment horizontal="right"/>
    </xf>
    <xf numFmtId="165" fontId="0" fillId="6" borderId="0" xfId="2" applyNumberFormat="1" applyFont="1" applyFill="1"/>
    <xf numFmtId="0" fontId="0" fillId="7" borderId="0" xfId="0" applyFill="1" applyAlignment="1">
      <alignment horizontal="right"/>
    </xf>
    <xf numFmtId="44" fontId="2" fillId="7" borderId="0" xfId="1" applyFont="1" applyFill="1"/>
    <xf numFmtId="165" fontId="6" fillId="0" borderId="0" xfId="2" applyNumberFormat="1" applyFont="1"/>
    <xf numFmtId="0" fontId="3" fillId="3" borderId="0" xfId="0" applyFont="1" applyFill="1" applyAlignment="1">
      <alignment horizontal="left"/>
    </xf>
    <xf numFmtId="0" fontId="0" fillId="7" borderId="0" xfId="0" applyFill="1" applyAlignment="1">
      <alignment horizontal="center"/>
    </xf>
    <xf numFmtId="44" fontId="0" fillId="7" borderId="0" xfId="1" applyFont="1" applyFill="1"/>
    <xf numFmtId="0" fontId="7" fillId="0" borderId="0" xfId="0" applyFont="1" applyAlignment="1">
      <alignment horizontal="right"/>
    </xf>
    <xf numFmtId="44" fontId="7" fillId="0" borderId="0" xfId="1" applyFont="1" applyFill="1"/>
    <xf numFmtId="44" fontId="0" fillId="0" borderId="5" xfId="1" applyFont="1" applyBorder="1"/>
    <xf numFmtId="44" fontId="1" fillId="6" borderId="5" xfId="1" applyFont="1" applyFill="1" applyBorder="1"/>
    <xf numFmtId="44" fontId="8" fillId="0" borderId="0" xfId="1" applyFont="1"/>
    <xf numFmtId="44" fontId="8" fillId="6" borderId="0" xfId="1" applyFont="1" applyFill="1"/>
    <xf numFmtId="44" fontId="0" fillId="0" borderId="0" xfId="1" applyFont="1" applyBorder="1"/>
    <xf numFmtId="44" fontId="0" fillId="4" borderId="0" xfId="1" applyFont="1" applyFill="1" applyBorder="1"/>
    <xf numFmtId="44" fontId="2" fillId="0" borderId="0" xfId="1" applyFont="1" applyBorder="1"/>
    <xf numFmtId="44" fontId="2" fillId="5" borderId="0" xfId="1" applyFont="1" applyFill="1" applyBorder="1"/>
    <xf numFmtId="44" fontId="10" fillId="8" borderId="0" xfId="1" applyFont="1" applyFill="1"/>
    <xf numFmtId="44" fontId="8" fillId="0" borderId="0" xfId="1" applyFont="1" applyFill="1"/>
    <xf numFmtId="44" fontId="8" fillId="0" borderId="0" xfId="0" applyNumberFormat="1" applyFont="1"/>
    <xf numFmtId="44" fontId="11" fillId="5" borderId="0" xfId="1" applyFont="1" applyFill="1"/>
    <xf numFmtId="44" fontId="10" fillId="0" borderId="0" xfId="1" applyFont="1" applyFill="1"/>
    <xf numFmtId="0" fontId="9" fillId="0" borderId="0" xfId="0" applyFont="1" applyAlignment="1">
      <alignment horizontal="center"/>
    </xf>
    <xf numFmtId="0" fontId="14" fillId="0" borderId="0" xfId="0" applyFont="1"/>
    <xf numFmtId="0" fontId="17" fillId="0" borderId="0" xfId="0" applyFont="1"/>
    <xf numFmtId="10" fontId="18" fillId="0" borderId="0" xfId="0" applyNumberFormat="1" applyFont="1"/>
    <xf numFmtId="10" fontId="17" fillId="0" borderId="0" xfId="0" applyNumberFormat="1" applyFont="1"/>
    <xf numFmtId="44" fontId="3" fillId="3" borderId="0" xfId="1" applyFont="1" applyFill="1" applyBorder="1"/>
    <xf numFmtId="0" fontId="13" fillId="0" borderId="0" xfId="0" applyFont="1"/>
    <xf numFmtId="0" fontId="15" fillId="0" borderId="0" xfId="0" applyFont="1" applyAlignment="1">
      <alignment horizontal="center"/>
    </xf>
    <xf numFmtId="44" fontId="10" fillId="8" borderId="0" xfId="1" applyFont="1" applyFill="1" applyBorder="1"/>
    <xf numFmtId="0" fontId="16" fillId="0" borderId="0" xfId="0" applyFont="1" applyAlignment="1">
      <alignment horizontal="right"/>
    </xf>
    <xf numFmtId="10" fontId="16" fillId="9" borderId="0" xfId="0" applyNumberFormat="1" applyFont="1" applyFill="1"/>
    <xf numFmtId="44" fontId="8" fillId="0" borderId="0" xfId="1" applyFont="1" applyFill="1" applyBorder="1"/>
    <xf numFmtId="44" fontId="11" fillId="5" borderId="0" xfId="1" applyFont="1" applyFill="1" applyBorder="1"/>
    <xf numFmtId="44" fontId="14" fillId="10" borderId="0" xfId="0" applyNumberFormat="1" applyFont="1" applyFill="1"/>
    <xf numFmtId="10" fontId="16" fillId="0" borderId="0" xfId="0" applyNumberFormat="1" applyFont="1" applyAlignment="1">
      <alignment horizontal="right"/>
    </xf>
    <xf numFmtId="44" fontId="8" fillId="0" borderId="0" xfId="1" applyFont="1" applyBorder="1"/>
    <xf numFmtId="0" fontId="13" fillId="0" borderId="0" xfId="0" applyFont="1" applyAlignment="1">
      <alignment horizontal="right"/>
    </xf>
    <xf numFmtId="2" fontId="0" fillId="0" borderId="0" xfId="0" applyNumberFormat="1"/>
    <xf numFmtId="2" fontId="12" fillId="0" borderId="0" xfId="0" applyNumberFormat="1" applyFont="1" applyAlignment="1">
      <alignment horizontal="right"/>
    </xf>
    <xf numFmtId="166" fontId="12" fillId="0" borderId="0" xfId="0" applyNumberFormat="1" applyFont="1"/>
    <xf numFmtId="44" fontId="2" fillId="0" borderId="0" xfId="1" applyFont="1" applyFill="1" applyBorder="1"/>
    <xf numFmtId="10" fontId="16" fillId="0" borderId="0" xfId="0" applyNumberFormat="1" applyFont="1"/>
    <xf numFmtId="0" fontId="19" fillId="0" borderId="0" xfId="0" applyFont="1"/>
    <xf numFmtId="44" fontId="20" fillId="5" borderId="0" xfId="1" applyFont="1" applyFill="1"/>
    <xf numFmtId="0" fontId="9" fillId="0" borderId="0" xfId="0" applyFont="1"/>
    <xf numFmtId="0" fontId="3" fillId="6" borderId="0" xfId="0" applyFont="1" applyFill="1"/>
    <xf numFmtId="44" fontId="3" fillId="6" borderId="0" xfId="1" applyFont="1" applyFill="1" applyBorder="1"/>
    <xf numFmtId="0" fontId="12" fillId="0" borderId="0" xfId="0" applyFont="1"/>
    <xf numFmtId="44" fontId="3" fillId="0" borderId="0" xfId="1" applyFont="1" applyFill="1"/>
    <xf numFmtId="44" fontId="3" fillId="0" borderId="0" xfId="1" applyFont="1" applyFill="1" applyBorder="1"/>
    <xf numFmtId="44" fontId="10" fillId="0" borderId="0" xfId="1" applyFont="1" applyFill="1" applyBorder="1"/>
    <xf numFmtId="44" fontId="11" fillId="0" borderId="0" xfId="1" applyFont="1" applyFill="1" applyBorder="1"/>
    <xf numFmtId="44" fontId="14" fillId="0" borderId="0" xfId="0" applyNumberFormat="1" applyFont="1"/>
    <xf numFmtId="8" fontId="8" fillId="0" borderId="0" xfId="0" applyNumberFormat="1" applyFont="1"/>
    <xf numFmtId="0" fontId="12" fillId="0" borderId="0" xfId="0" applyFont="1" applyAlignment="1">
      <alignment horizontal="center"/>
    </xf>
    <xf numFmtId="0" fontId="0" fillId="0" borderId="6" xfId="0" applyBorder="1"/>
    <xf numFmtId="0" fontId="3" fillId="0" borderId="7" xfId="0" applyFont="1" applyBorder="1" applyAlignment="1">
      <alignment horizontal="center"/>
    </xf>
    <xf numFmtId="44" fontId="0" fillId="0" borderId="6" xfId="1" applyFont="1" applyBorder="1"/>
    <xf numFmtId="44" fontId="3" fillId="3" borderId="6" xfId="1" applyFont="1" applyFill="1" applyBorder="1"/>
    <xf numFmtId="44" fontId="0" fillId="2" borderId="6" xfId="1" applyFont="1" applyFill="1" applyBorder="1"/>
    <xf numFmtId="44" fontId="2" fillId="0" borderId="6" xfId="1" applyFont="1" applyBorder="1"/>
    <xf numFmtId="44" fontId="7" fillId="0" borderId="6" xfId="1" applyFont="1" applyFill="1" applyBorder="1"/>
    <xf numFmtId="44" fontId="0" fillId="4" borderId="6" xfId="1" applyFont="1" applyFill="1" applyBorder="1"/>
    <xf numFmtId="44" fontId="8" fillId="0" borderId="6" xfId="1" applyFont="1" applyBorder="1"/>
    <xf numFmtId="44" fontId="2" fillId="5" borderId="6" xfId="1" applyFont="1" applyFill="1" applyBorder="1"/>
    <xf numFmtId="44" fontId="10" fillId="8" borderId="6" xfId="1" applyFont="1" applyFill="1" applyBorder="1"/>
    <xf numFmtId="44" fontId="8" fillId="0" borderId="6" xfId="1" applyFont="1" applyFill="1" applyBorder="1"/>
    <xf numFmtId="44" fontId="11" fillId="5" borderId="6" xfId="1" applyFont="1" applyFill="1" applyBorder="1"/>
    <xf numFmtId="44" fontId="8" fillId="0" borderId="6" xfId="0" applyNumberFormat="1" applyFont="1" applyBorder="1"/>
    <xf numFmtId="44" fontId="1" fillId="6" borderId="0" xfId="1" applyFont="1" applyFill="1" applyBorder="1"/>
    <xf numFmtId="44" fontId="1" fillId="6" borderId="6" xfId="1" applyFont="1" applyFill="1" applyBorder="1"/>
    <xf numFmtId="0" fontId="9" fillId="2" borderId="0" xfId="0" applyFont="1" applyFill="1" applyAlignment="1">
      <alignment horizontal="right"/>
    </xf>
    <xf numFmtId="166" fontId="9" fillId="0" borderId="0" xfId="0" applyNumberFormat="1" applyFont="1"/>
    <xf numFmtId="0" fontId="0" fillId="0" borderId="6" xfId="0" applyBorder="1" applyAlignment="1">
      <alignment horizontal="right"/>
    </xf>
    <xf numFmtId="2" fontId="0" fillId="0" borderId="0" xfId="1" applyNumberFormat="1" applyFont="1"/>
    <xf numFmtId="2" fontId="2" fillId="0" borderId="0" xfId="1" applyNumberFormat="1" applyFont="1"/>
    <xf numFmtId="9" fontId="0" fillId="0" borderId="6" xfId="2" applyFont="1" applyBorder="1"/>
    <xf numFmtId="9" fontId="2" fillId="0" borderId="6" xfId="2" applyFont="1" applyBorder="1"/>
    <xf numFmtId="166" fontId="0" fillId="0" borderId="0" xfId="0" applyNumberFormat="1"/>
    <xf numFmtId="2" fontId="0" fillId="0" borderId="6" xfId="1" applyNumberFormat="1" applyFont="1" applyBorder="1"/>
    <xf numFmtId="0" fontId="9" fillId="0" borderId="0" xfId="0" applyFont="1" applyAlignment="1">
      <alignment horizontal="right"/>
    </xf>
    <xf numFmtId="165" fontId="0" fillId="0" borderId="6" xfId="2" applyNumberFormat="1" applyFont="1" applyBorder="1"/>
    <xf numFmtId="44" fontId="0" fillId="0" borderId="6" xfId="2" applyNumberFormat="1" applyFont="1" applyBorder="1"/>
    <xf numFmtId="166" fontId="0" fillId="0" borderId="6" xfId="2" applyNumberFormat="1" applyFont="1" applyBorder="1"/>
    <xf numFmtId="44" fontId="0" fillId="0" borderId="6" xfId="0" applyNumberFormat="1" applyBorder="1"/>
    <xf numFmtId="166" fontId="0" fillId="0" borderId="6" xfId="0" applyNumberFormat="1" applyBorder="1"/>
    <xf numFmtId="9" fontId="0" fillId="0" borderId="0" xfId="2" applyFont="1"/>
    <xf numFmtId="2" fontId="13" fillId="0" borderId="0" xfId="1" applyNumberFormat="1" applyFont="1"/>
    <xf numFmtId="166" fontId="0" fillId="7" borderId="6" xfId="2" applyNumberFormat="1" applyFont="1" applyFill="1" applyBorder="1"/>
    <xf numFmtId="2" fontId="0" fillId="7" borderId="0" xfId="1" applyNumberFormat="1" applyFont="1" applyFill="1"/>
    <xf numFmtId="2" fontId="5" fillId="0" borderId="0" xfId="1" applyNumberFormat="1" applyFont="1"/>
    <xf numFmtId="167" fontId="0" fillId="0" borderId="0" xfId="0" applyNumberFormat="1"/>
    <xf numFmtId="0" fontId="0" fillId="7" borderId="6" xfId="0" applyFill="1" applyBorder="1"/>
    <xf numFmtId="0" fontId="0" fillId="2" borderId="0" xfId="0" applyFill="1" applyAlignment="1">
      <alignment horizontal="center"/>
    </xf>
    <xf numFmtId="0" fontId="3" fillId="3" borderId="0" xfId="0" applyFont="1" applyFill="1" applyAlignment="1">
      <alignment horizontal="center"/>
    </xf>
    <xf numFmtId="0" fontId="3" fillId="0" borderId="0" xfId="0" applyFont="1" applyAlignment="1">
      <alignment horizontal="center"/>
    </xf>
    <xf numFmtId="0" fontId="0" fillId="0" borderId="9" xfId="0" applyBorder="1"/>
    <xf numFmtId="0" fontId="9" fillId="0" borderId="5" xfId="0" applyFont="1" applyBorder="1" applyAlignment="1">
      <alignment horizontal="center"/>
    </xf>
    <xf numFmtId="0" fontId="9" fillId="0" borderId="5" xfId="0" applyFont="1" applyFill="1" applyBorder="1" applyAlignment="1">
      <alignment horizontal="center"/>
    </xf>
    <xf numFmtId="0" fontId="9" fillId="11" borderId="5" xfId="0" applyFont="1" applyFill="1" applyBorder="1" applyAlignment="1">
      <alignment horizontal="center"/>
    </xf>
    <xf numFmtId="0" fontId="9" fillId="13" borderId="5" xfId="0" applyFont="1" applyFill="1" applyBorder="1" applyAlignment="1">
      <alignment horizontal="center"/>
    </xf>
    <xf numFmtId="0" fontId="0" fillId="13" borderId="9" xfId="0" applyFill="1" applyBorder="1"/>
    <xf numFmtId="165" fontId="0" fillId="13" borderId="9" xfId="2" applyNumberFormat="1" applyFont="1" applyFill="1" applyBorder="1"/>
    <xf numFmtId="2" fontId="0" fillId="13" borderId="10" xfId="0" applyNumberFormat="1" applyFill="1" applyBorder="1"/>
    <xf numFmtId="0" fontId="9" fillId="14" borderId="5" xfId="0" applyFont="1" applyFill="1" applyBorder="1" applyAlignment="1">
      <alignment horizontal="center"/>
    </xf>
    <xf numFmtId="0" fontId="0" fillId="14" borderId="5" xfId="0" applyFill="1" applyBorder="1" applyAlignment="1">
      <alignment horizontal="center"/>
    </xf>
    <xf numFmtId="0" fontId="0" fillId="14" borderId="6" xfId="0" applyFill="1" applyBorder="1"/>
    <xf numFmtId="0" fontId="0" fillId="14" borderId="13" xfId="0" applyFill="1" applyBorder="1"/>
    <xf numFmtId="10" fontId="0" fillId="13" borderId="9" xfId="2" applyNumberFormat="1" applyFont="1" applyFill="1" applyBorder="1"/>
    <xf numFmtId="0" fontId="0" fillId="0" borderId="8" xfId="0" applyBorder="1"/>
    <xf numFmtId="0" fontId="0" fillId="11" borderId="11" xfId="0" applyFill="1" applyBorder="1"/>
    <xf numFmtId="165" fontId="0" fillId="11" borderId="11" xfId="2" applyNumberFormat="1" applyFont="1" applyFill="1" applyBorder="1"/>
    <xf numFmtId="10" fontId="0" fillId="11" borderId="11" xfId="2" applyNumberFormat="1" applyFont="1" applyFill="1" applyBorder="1"/>
    <xf numFmtId="2" fontId="0" fillId="11" borderId="12" xfId="0" applyNumberFormat="1" applyFill="1" applyBorder="1"/>
    <xf numFmtId="0" fontId="9" fillId="0" borderId="8" xfId="0" applyFont="1" applyFill="1" applyBorder="1" applyAlignment="1">
      <alignment horizontal="center"/>
    </xf>
    <xf numFmtId="0" fontId="9" fillId="0" borderId="9" xfId="0" applyFont="1" applyBorder="1"/>
    <xf numFmtId="0" fontId="9" fillId="0" borderId="9" xfId="0" applyFont="1" applyBorder="1" applyAlignment="1">
      <alignment horizontal="right"/>
    </xf>
    <xf numFmtId="0" fontId="9" fillId="0" borderId="10" xfId="0" applyFont="1" applyBorder="1" applyAlignment="1">
      <alignment horizontal="right"/>
    </xf>
    <xf numFmtId="0" fontId="0" fillId="0" borderId="5" xfId="0" applyBorder="1"/>
    <xf numFmtId="165" fontId="0" fillId="0" borderId="9" xfId="0" applyNumberFormat="1" applyBorder="1"/>
    <xf numFmtId="165" fontId="0" fillId="0" borderId="10" xfId="2" applyNumberFormat="1" applyFont="1" applyBorder="1" applyAlignment="1">
      <alignment horizontal="center"/>
    </xf>
    <xf numFmtId="0" fontId="9" fillId="15" borderId="5" xfId="0" applyFont="1" applyFill="1" applyBorder="1" applyAlignment="1">
      <alignment horizontal="center"/>
    </xf>
    <xf numFmtId="0" fontId="0" fillId="15" borderId="6" xfId="0" applyFill="1" applyBorder="1"/>
    <xf numFmtId="165" fontId="0" fillId="15" borderId="6" xfId="2" applyNumberFormat="1" applyFont="1" applyFill="1" applyBorder="1"/>
    <xf numFmtId="10" fontId="0" fillId="15" borderId="6" xfId="2" applyNumberFormat="1" applyFont="1" applyFill="1" applyBorder="1"/>
    <xf numFmtId="2" fontId="0" fillId="15" borderId="13" xfId="0" applyNumberFormat="1" applyFill="1" applyBorder="1"/>
    <xf numFmtId="165" fontId="0" fillId="0" borderId="11" xfId="0" applyNumberFormat="1" applyBorder="1"/>
    <xf numFmtId="165" fontId="0" fillId="0" borderId="12" xfId="2" applyNumberFormat="1" applyFont="1" applyBorder="1"/>
    <xf numFmtId="9" fontId="0" fillId="12" borderId="14" xfId="2" applyFont="1" applyFill="1" applyBorder="1" applyAlignment="1">
      <alignment horizontal="center"/>
    </xf>
    <xf numFmtId="2" fontId="0" fillId="12" borderId="14" xfId="2" applyNumberFormat="1" applyFont="1" applyFill="1" applyBorder="1" applyAlignment="1">
      <alignment horizontal="center"/>
    </xf>
    <xf numFmtId="9" fontId="0" fillId="14" borderId="9" xfId="2" applyFont="1" applyFill="1" applyBorder="1" applyAlignment="1">
      <alignment horizontal="center"/>
    </xf>
    <xf numFmtId="9" fontId="0" fillId="14" borderId="10" xfId="2" applyFont="1" applyFill="1" applyBorder="1" applyAlignment="1">
      <alignment horizontal="center"/>
    </xf>
    <xf numFmtId="0" fontId="9" fillId="0" borderId="5" xfId="0" applyFont="1" applyBorder="1"/>
    <xf numFmtId="44" fontId="0" fillId="15" borderId="15" xfId="0" applyNumberFormat="1" applyFill="1" applyBorder="1"/>
    <xf numFmtId="9" fontId="0" fillId="14" borderId="5" xfId="2" applyFont="1" applyFill="1" applyBorder="1" applyAlignment="1">
      <alignment horizontal="center"/>
    </xf>
    <xf numFmtId="2" fontId="0" fillId="14" borderId="15" xfId="0" applyNumberFormat="1" applyFill="1" applyBorder="1"/>
    <xf numFmtId="44" fontId="0" fillId="13" borderId="5" xfId="0" applyNumberFormat="1" applyFill="1" applyBorder="1"/>
    <xf numFmtId="165" fontId="0" fillId="0" borderId="5" xfId="2" applyNumberFormat="1" applyFont="1" applyBorder="1" applyAlignment="1">
      <alignment horizontal="center"/>
    </xf>
    <xf numFmtId="44" fontId="0" fillId="11" borderId="16" xfId="0" applyNumberFormat="1" applyFill="1" applyBorder="1"/>
    <xf numFmtId="165" fontId="0" fillId="0" borderId="16" xfId="2" applyNumberFormat="1" applyFont="1" applyBorder="1"/>
    <xf numFmtId="165" fontId="0" fillId="0" borderId="5" xfId="2" applyNumberFormat="1" applyFont="1" applyBorder="1"/>
    <xf numFmtId="0" fontId="0" fillId="0" borderId="0" xfId="0" applyAlignment="1">
      <alignment vertical="center" wrapText="1"/>
    </xf>
    <xf numFmtId="4" fontId="0" fillId="0" borderId="0" xfId="0" applyNumberFormat="1"/>
    <xf numFmtId="3" fontId="0" fillId="0" borderId="0" xfId="0" applyNumberFormat="1"/>
    <xf numFmtId="0" fontId="21" fillId="0" borderId="2" xfId="0" applyFont="1" applyBorder="1" applyAlignment="1">
      <alignment horizontal="center"/>
    </xf>
    <xf numFmtId="0" fontId="21" fillId="0" borderId="3" xfId="0" applyFont="1" applyBorder="1" applyAlignment="1">
      <alignment horizontal="center"/>
    </xf>
    <xf numFmtId="0" fontId="21" fillId="0" borderId="4" xfId="0" applyFont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22" fillId="0" borderId="2" xfId="0" applyFont="1" applyBorder="1" applyAlignment="1">
      <alignment horizontal="center"/>
    </xf>
    <xf numFmtId="0" fontId="22" fillId="0" borderId="3" xfId="0" applyFont="1" applyBorder="1" applyAlignment="1">
      <alignment horizontal="center"/>
    </xf>
    <xf numFmtId="0" fontId="22" fillId="0" borderId="4" xfId="0" applyFont="1" applyBorder="1" applyAlignment="1">
      <alignment horizontal="center"/>
    </xf>
  </cellXfs>
  <cellStyles count="3">
    <cellStyle name="Moeda" xfId="1" builtinId="4"/>
    <cellStyle name="Normal" xfId="0" builtinId="0"/>
    <cellStyle name="Porcentagem" xfId="2" builtinId="5"/>
  </cellStyles>
  <dxfs count="0"/>
  <tableStyles count="0" defaultTableStyle="TableStyleMedium2" defaultPivotStyle="PivotStyleLight16"/>
  <colors>
    <mruColors>
      <color rgb="FFFF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3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.xml"/></Relationships>
</file>

<file path=xl/charts/_rels/chart4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3.xml"/></Relationships>
</file>

<file path=xl/charts/_rels/chart5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4.xml"/></Relationships>
</file>

<file path=xl/charts/_rels/chart6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6.xml"/></Relationships>
</file>

<file path=xl/charts/_rels/chart7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7.xml"/></Relationships>
</file>

<file path=xl/charts/_rels/chart8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8.xml"/></Relationships>
</file>

<file path=xl/charts/_rels/chart9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9.xml"/></Relationships>
</file>

<file path=xl/charts/_rels/chart10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10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pt-BR"/>
              <a:t>Receita Liquida por Regiões</a:t>
            </a:r>
          </a:p>
        </c:rich>
      </c:tx>
      <c:layout>
        <c:manualLayout>
          <c:xMode val="edge"/>
          <c:yMode val="edge"/>
          <c:x val="0.30000000000000004"/>
          <c:y val="3.6303630363036306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0985469085619672"/>
          <c:y val="0.19166718659718593"/>
          <c:w val="0.86268242525307448"/>
          <c:h val="0.44722343539343368"/>
        </c:manualLayout>
      </c:layout>
      <c:lineChart>
        <c:grouping val="standard"/>
        <c:varyColors val="0"/>
        <c:ser>
          <c:idx val="1"/>
          <c:order val="0"/>
          <c:tx>
            <c:strRef>
              <c:f>'P &amp; L'!$C$10</c:f>
              <c:strCache>
                <c:ptCount val="1"/>
                <c:pt idx="0">
                  <c:v>Aparecida</c:v>
                </c:pt>
              </c:strCache>
            </c:strRef>
          </c:tx>
          <c:marker>
            <c:symbol val="none"/>
          </c:marker>
          <c:cat>
            <c:strRef>
              <c:f>'P &amp; L'!$D$5:$O$5</c:f>
              <c:strCache>
                <c:ptCount val="12"/>
                <c:pt idx="0">
                  <c:v> jan 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out</c:v>
                </c:pt>
                <c:pt idx="10">
                  <c:v>nov</c:v>
                </c:pt>
                <c:pt idx="11">
                  <c:v>dez</c:v>
                </c:pt>
              </c:strCache>
            </c:strRef>
          </c:cat>
          <c:val>
            <c:numRef>
              <c:f>'P &amp; L'!$D$10:$O$10</c:f>
              <c:numCache>
                <c:formatCode>_("R$"* #,##0.00_);_("R$"* \(#,##0.00\);_("R$"* "-"??_);_(@_)</c:formatCode>
                <c:ptCount val="12"/>
                <c:pt idx="0">
                  <c:v>70000</c:v>
                </c:pt>
                <c:pt idx="1">
                  <c:v>75000</c:v>
                </c:pt>
                <c:pt idx="2">
                  <c:v>80000</c:v>
                </c:pt>
                <c:pt idx="3">
                  <c:v>85000</c:v>
                </c:pt>
                <c:pt idx="4">
                  <c:v>90000</c:v>
                </c:pt>
                <c:pt idx="5">
                  <c:v>95000</c:v>
                </c:pt>
                <c:pt idx="6">
                  <c:v>100000</c:v>
                </c:pt>
                <c:pt idx="7">
                  <c:v>105000</c:v>
                </c:pt>
                <c:pt idx="8">
                  <c:v>110000</c:v>
                </c:pt>
                <c:pt idx="9">
                  <c:v>120000</c:v>
                </c:pt>
                <c:pt idx="10">
                  <c:v>130000</c:v>
                </c:pt>
                <c:pt idx="11">
                  <c:v>150000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0-22D9-4A35-AAAD-771752D9BF88}"/>
            </c:ext>
          </c:extLst>
        </c:ser>
        <c:ser>
          <c:idx val="2"/>
          <c:order val="1"/>
          <c:tx>
            <c:strRef>
              <c:f>'P &amp; L'!$C$11</c:f>
              <c:strCache>
                <c:ptCount val="1"/>
                <c:pt idx="0">
                  <c:v>Caçapava</c:v>
                </c:pt>
              </c:strCache>
            </c:strRef>
          </c:tx>
          <c:marker>
            <c:symbol val="none"/>
          </c:marker>
          <c:cat>
            <c:strRef>
              <c:f>'P &amp; L'!$D$5:$O$5</c:f>
              <c:strCache>
                <c:ptCount val="12"/>
                <c:pt idx="0">
                  <c:v> jan 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out</c:v>
                </c:pt>
                <c:pt idx="10">
                  <c:v>nov</c:v>
                </c:pt>
                <c:pt idx="11">
                  <c:v>dez</c:v>
                </c:pt>
              </c:strCache>
            </c:strRef>
          </c:cat>
          <c:val>
            <c:numRef>
              <c:f>'P &amp; L'!$D$11:$O$11</c:f>
              <c:numCache>
                <c:formatCode>_("R$"* #,##0.00_);_("R$"* \(#,##0.00\);_("R$"* "-"??_);_(@_)</c:formatCode>
                <c:ptCount val="12"/>
                <c:pt idx="0">
                  <c:v>80000</c:v>
                </c:pt>
                <c:pt idx="1">
                  <c:v>85000</c:v>
                </c:pt>
                <c:pt idx="2">
                  <c:v>90000</c:v>
                </c:pt>
                <c:pt idx="3">
                  <c:v>95000</c:v>
                </c:pt>
                <c:pt idx="4">
                  <c:v>100000</c:v>
                </c:pt>
                <c:pt idx="5">
                  <c:v>105000</c:v>
                </c:pt>
                <c:pt idx="6">
                  <c:v>110000</c:v>
                </c:pt>
                <c:pt idx="7">
                  <c:v>115000</c:v>
                </c:pt>
                <c:pt idx="8">
                  <c:v>120000</c:v>
                </c:pt>
                <c:pt idx="9">
                  <c:v>130000</c:v>
                </c:pt>
                <c:pt idx="10">
                  <c:v>140000</c:v>
                </c:pt>
                <c:pt idx="11">
                  <c:v>160000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1-22D9-4A35-AAAD-771752D9BF88}"/>
            </c:ext>
          </c:extLst>
        </c:ser>
        <c:ser>
          <c:idx val="3"/>
          <c:order val="2"/>
          <c:tx>
            <c:strRef>
              <c:f>'P &amp; L'!$C$12</c:f>
              <c:strCache>
                <c:ptCount val="1"/>
                <c:pt idx="0">
                  <c:v>Jacarei</c:v>
                </c:pt>
              </c:strCache>
            </c:strRef>
          </c:tx>
          <c:marker>
            <c:symbol val="none"/>
          </c:marker>
          <c:cat>
            <c:strRef>
              <c:f>'P &amp; L'!$D$5:$O$5</c:f>
              <c:strCache>
                <c:ptCount val="12"/>
                <c:pt idx="0">
                  <c:v> jan 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out</c:v>
                </c:pt>
                <c:pt idx="10">
                  <c:v>nov</c:v>
                </c:pt>
                <c:pt idx="11">
                  <c:v>dez</c:v>
                </c:pt>
              </c:strCache>
            </c:strRef>
          </c:cat>
          <c:val>
            <c:numRef>
              <c:f>'P &amp; L'!$D$12:$O$12</c:f>
              <c:numCache>
                <c:formatCode>_("R$"* #,##0.00_);_("R$"* \(#,##0.00\);_("R$"* "-"??_);_(@_)</c:formatCode>
                <c:ptCount val="12"/>
                <c:pt idx="0">
                  <c:v>120000</c:v>
                </c:pt>
                <c:pt idx="1">
                  <c:v>125000</c:v>
                </c:pt>
                <c:pt idx="2">
                  <c:v>130000</c:v>
                </c:pt>
                <c:pt idx="3">
                  <c:v>140000</c:v>
                </c:pt>
                <c:pt idx="4">
                  <c:v>150000</c:v>
                </c:pt>
                <c:pt idx="5">
                  <c:v>155000</c:v>
                </c:pt>
                <c:pt idx="6">
                  <c:v>160000</c:v>
                </c:pt>
                <c:pt idx="7">
                  <c:v>165000</c:v>
                </c:pt>
                <c:pt idx="8">
                  <c:v>170000</c:v>
                </c:pt>
                <c:pt idx="9">
                  <c:v>180000</c:v>
                </c:pt>
                <c:pt idx="10">
                  <c:v>200000</c:v>
                </c:pt>
                <c:pt idx="11">
                  <c:v>220000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2D9-4A35-AAAD-771752D9BF88}"/>
            </c:ext>
          </c:extLst>
        </c:ser>
        <c:ser>
          <c:idx val="4"/>
          <c:order val="3"/>
          <c:tx>
            <c:strRef>
              <c:f>'P &amp; L'!$C$13</c:f>
              <c:strCache>
                <c:ptCount val="1"/>
                <c:pt idx="0">
                  <c:v>SJC</c:v>
                </c:pt>
              </c:strCache>
            </c:strRef>
          </c:tx>
          <c:marker>
            <c:symbol val="none"/>
          </c:marker>
          <c:cat>
            <c:strRef>
              <c:f>'P &amp; L'!$D$5:$O$5</c:f>
              <c:strCache>
                <c:ptCount val="12"/>
                <c:pt idx="0">
                  <c:v> jan 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out</c:v>
                </c:pt>
                <c:pt idx="10">
                  <c:v>nov</c:v>
                </c:pt>
                <c:pt idx="11">
                  <c:v>dez</c:v>
                </c:pt>
              </c:strCache>
            </c:strRef>
          </c:cat>
          <c:val>
            <c:numRef>
              <c:f>'P &amp; L'!$D$13:$O$13</c:f>
              <c:numCache>
                <c:formatCode>_("R$"* #,##0.00_);_("R$"* \(#,##0.00\);_("R$"* "-"??_);_(@_)</c:formatCode>
                <c:ptCount val="12"/>
                <c:pt idx="0">
                  <c:v>180000</c:v>
                </c:pt>
                <c:pt idx="1">
                  <c:v>190000</c:v>
                </c:pt>
                <c:pt idx="2">
                  <c:v>210000</c:v>
                </c:pt>
                <c:pt idx="3">
                  <c:v>220000</c:v>
                </c:pt>
                <c:pt idx="4">
                  <c:v>230000</c:v>
                </c:pt>
                <c:pt idx="5">
                  <c:v>240000</c:v>
                </c:pt>
                <c:pt idx="6">
                  <c:v>250000</c:v>
                </c:pt>
                <c:pt idx="7">
                  <c:v>260000</c:v>
                </c:pt>
                <c:pt idx="8">
                  <c:v>270000</c:v>
                </c:pt>
                <c:pt idx="9">
                  <c:v>280000</c:v>
                </c:pt>
                <c:pt idx="10">
                  <c:v>300000</c:v>
                </c:pt>
                <c:pt idx="11">
                  <c:v>350000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3-22D9-4A35-AAAD-771752D9BF88}"/>
            </c:ext>
          </c:extLst>
        </c:ser>
        <c:ser>
          <c:idx val="5"/>
          <c:order val="4"/>
          <c:tx>
            <c:strRef>
              <c:f>'P &amp; L'!$C$14</c:f>
              <c:strCache>
                <c:ptCount val="1"/>
                <c:pt idx="0">
                  <c:v>Taubaté</c:v>
                </c:pt>
              </c:strCache>
            </c:strRef>
          </c:tx>
          <c:marker>
            <c:symbol val="none"/>
          </c:marker>
          <c:cat>
            <c:strRef>
              <c:f>'P &amp; L'!$D$5:$O$5</c:f>
              <c:strCache>
                <c:ptCount val="12"/>
                <c:pt idx="0">
                  <c:v> jan 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out</c:v>
                </c:pt>
                <c:pt idx="10">
                  <c:v>nov</c:v>
                </c:pt>
                <c:pt idx="11">
                  <c:v>dez</c:v>
                </c:pt>
              </c:strCache>
            </c:strRef>
          </c:cat>
          <c:val>
            <c:numRef>
              <c:f>'P &amp; L'!$D$14:$O$14</c:f>
              <c:numCache>
                <c:formatCode>_("R$"* #,##0.00_);_("R$"* \(#,##0.00\);_("R$"* "-"??_);_(@_)</c:formatCode>
                <c:ptCount val="12"/>
                <c:pt idx="0">
                  <c:v>100000</c:v>
                </c:pt>
                <c:pt idx="1">
                  <c:v>105000</c:v>
                </c:pt>
                <c:pt idx="2">
                  <c:v>110000</c:v>
                </c:pt>
                <c:pt idx="3">
                  <c:v>120000</c:v>
                </c:pt>
                <c:pt idx="4">
                  <c:v>130000</c:v>
                </c:pt>
                <c:pt idx="5">
                  <c:v>135000</c:v>
                </c:pt>
                <c:pt idx="6">
                  <c:v>140000</c:v>
                </c:pt>
                <c:pt idx="7">
                  <c:v>145000</c:v>
                </c:pt>
                <c:pt idx="8">
                  <c:v>150000</c:v>
                </c:pt>
                <c:pt idx="9">
                  <c:v>160000</c:v>
                </c:pt>
                <c:pt idx="10">
                  <c:v>180000</c:v>
                </c:pt>
                <c:pt idx="11">
                  <c:v>200000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22D9-4A35-AAAD-771752D9BF8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35269824"/>
        <c:axId val="335267080"/>
        <c:extLst/>
      </c:lineChart>
      <c:catAx>
        <c:axId val="33526982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335267080"/>
        <c:crosses val="autoZero"/>
        <c:auto val="1"/>
        <c:lblAlgn val="ctr"/>
        <c:lblOffset val="100"/>
        <c:noMultiLvlLbl val="0"/>
      </c:catAx>
      <c:valAx>
        <c:axId val="335267080"/>
        <c:scaling>
          <c:orientation val="minMax"/>
        </c:scaling>
        <c:delete val="0"/>
        <c:axPos val="l"/>
        <c:majorGridlines/>
        <c:numFmt formatCode="_(&quot;R$&quot;* #,##0.00_);_(&quot;R$&quot;* \(#,##0.00\);_(&quot;R$&quot;* &quot;-&quot;??_);_(@_)" sourceLinked="1"/>
        <c:majorTickMark val="out"/>
        <c:minorTickMark val="none"/>
        <c:tickLblPos val="nextTo"/>
        <c:crossAx val="33526982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17285958708254484"/>
          <c:y val="0.76389096107574073"/>
          <c:w val="0.71624686129972481"/>
          <c:h val="0.23610890597518588"/>
        </c:manualLayout>
      </c:layout>
      <c:overlay val="0"/>
    </c:legend>
    <c:plotVisOnly val="1"/>
    <c:dispBlanksAs val="gap"/>
    <c:showDLblsOverMax val="0"/>
  </c:chart>
  <c:printSettings>
    <c:headerFooter/>
    <c:pageMargins b="0.78740157499999996" l="0.511811024" r="0.511811024" t="0.78740157499999996" header="0.31496062000000025" footer="0.31496062000000025"/>
    <c:pageSetup paperSize="9" orientation="landscape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>
        <c:manualLayout>
          <c:layoutTarget val="inner"/>
          <c:xMode val="edge"/>
          <c:yMode val="edge"/>
          <c:x val="0.14563129808748312"/>
          <c:y val="0.21474426189485024"/>
          <c:w val="0.83171652463295875"/>
          <c:h val="0.55128377680468998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'P &amp; L'!$D$5</c:f>
              <c:strCache>
                <c:ptCount val="1"/>
                <c:pt idx="0">
                  <c:v> jan </c:v>
                </c:pt>
              </c:strCache>
            </c:strRef>
          </c:tx>
          <c:spPr>
            <a:solidFill>
              <a:srgbClr val="9999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'P &amp; L'!$C$22:$C$24</c:f>
              <c:strCache>
                <c:ptCount val="3"/>
                <c:pt idx="0">
                  <c:v>diretas</c:v>
                </c:pt>
                <c:pt idx="1">
                  <c:v>e-comerce</c:v>
                </c:pt>
                <c:pt idx="2">
                  <c:v>representantes</c:v>
                </c:pt>
              </c:strCache>
            </c:strRef>
          </c:cat>
          <c:val>
            <c:numRef>
              <c:f>'P &amp; L'!$D$22:$D$24</c:f>
              <c:numCache>
                <c:formatCode>_("R$"* #,##0.00_);_("R$"* \(#,##0.00\);_("R$"* "-"??_);_(@_)</c:formatCode>
                <c:ptCount val="3"/>
                <c:pt idx="0">
                  <c:v>275000</c:v>
                </c:pt>
                <c:pt idx="1">
                  <c:v>165000</c:v>
                </c:pt>
                <c:pt idx="2">
                  <c:v>110000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FA0-446F-BD5F-8CABB6736EB2}"/>
            </c:ext>
          </c:extLst>
        </c:ser>
        <c:ser>
          <c:idx val="1"/>
          <c:order val="1"/>
          <c:tx>
            <c:strRef>
              <c:f>'P &amp; L'!$E$5</c:f>
              <c:strCache>
                <c:ptCount val="1"/>
                <c:pt idx="0">
                  <c:v>fev</c:v>
                </c:pt>
              </c:strCache>
            </c:strRef>
          </c:tx>
          <c:spPr>
            <a:solidFill>
              <a:srgbClr val="993366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'P &amp; L'!$C$22:$C$24</c:f>
              <c:strCache>
                <c:ptCount val="3"/>
                <c:pt idx="0">
                  <c:v>diretas</c:v>
                </c:pt>
                <c:pt idx="1">
                  <c:v>e-comerce</c:v>
                </c:pt>
                <c:pt idx="2">
                  <c:v>representantes</c:v>
                </c:pt>
              </c:strCache>
            </c:strRef>
          </c:cat>
          <c:val>
            <c:numRef>
              <c:f>'P &amp; L'!$E$22:$E$24</c:f>
              <c:numCache>
                <c:formatCode>_("R$"* #,##0.00_);_("R$"* \(#,##0.00\);_("R$"* "-"??_);_(@_)</c:formatCode>
                <c:ptCount val="3"/>
                <c:pt idx="0">
                  <c:v>290000</c:v>
                </c:pt>
                <c:pt idx="1">
                  <c:v>174000</c:v>
                </c:pt>
                <c:pt idx="2">
                  <c:v>116000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FA0-446F-BD5F-8CABB6736EB2}"/>
            </c:ext>
          </c:extLst>
        </c:ser>
        <c:ser>
          <c:idx val="2"/>
          <c:order val="2"/>
          <c:tx>
            <c:strRef>
              <c:f>'P &amp; L'!$F$5</c:f>
              <c:strCache>
                <c:ptCount val="1"/>
                <c:pt idx="0">
                  <c:v>mar</c:v>
                </c:pt>
              </c:strCache>
            </c:strRef>
          </c:tx>
          <c:spPr>
            <a:solidFill>
              <a:srgbClr val="FFFFCC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'P &amp; L'!$C$22:$C$24</c:f>
              <c:strCache>
                <c:ptCount val="3"/>
                <c:pt idx="0">
                  <c:v>diretas</c:v>
                </c:pt>
                <c:pt idx="1">
                  <c:v>e-comerce</c:v>
                </c:pt>
                <c:pt idx="2">
                  <c:v>representantes</c:v>
                </c:pt>
              </c:strCache>
            </c:strRef>
          </c:cat>
          <c:val>
            <c:numRef>
              <c:f>'P &amp; L'!$F$22:$F$24</c:f>
              <c:numCache>
                <c:formatCode>_("R$"* #,##0.00_);_("R$"* \(#,##0.00\);_("R$"* "-"??_);_(@_)</c:formatCode>
                <c:ptCount val="3"/>
                <c:pt idx="0">
                  <c:v>310000</c:v>
                </c:pt>
                <c:pt idx="1">
                  <c:v>186000</c:v>
                </c:pt>
                <c:pt idx="2">
                  <c:v>124000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FA0-446F-BD5F-8CABB6736EB2}"/>
            </c:ext>
          </c:extLst>
        </c:ser>
        <c:ser>
          <c:idx val="3"/>
          <c:order val="3"/>
          <c:tx>
            <c:strRef>
              <c:f>'P &amp; L'!$G$5</c:f>
              <c:strCache>
                <c:ptCount val="1"/>
                <c:pt idx="0">
                  <c:v>abr</c:v>
                </c:pt>
              </c:strCache>
            </c:strRef>
          </c:tx>
          <c:spPr>
            <a:solidFill>
              <a:srgbClr val="CCFF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'P &amp; L'!$C$22:$C$24</c:f>
              <c:strCache>
                <c:ptCount val="3"/>
                <c:pt idx="0">
                  <c:v>diretas</c:v>
                </c:pt>
                <c:pt idx="1">
                  <c:v>e-comerce</c:v>
                </c:pt>
                <c:pt idx="2">
                  <c:v>representantes</c:v>
                </c:pt>
              </c:strCache>
            </c:strRef>
          </c:cat>
          <c:val>
            <c:numRef>
              <c:f>'P &amp; L'!$G$22:$G$24</c:f>
              <c:numCache>
                <c:formatCode>_("R$"* #,##0.00_);_("R$"* \(#,##0.00\);_("R$"* "-"??_);_(@_)</c:formatCode>
                <c:ptCount val="3"/>
                <c:pt idx="0">
                  <c:v>330000</c:v>
                </c:pt>
                <c:pt idx="1">
                  <c:v>198000</c:v>
                </c:pt>
                <c:pt idx="2">
                  <c:v>132000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0FA0-446F-BD5F-8CABB6736EB2}"/>
            </c:ext>
          </c:extLst>
        </c:ser>
        <c:ser>
          <c:idx val="4"/>
          <c:order val="4"/>
          <c:tx>
            <c:strRef>
              <c:f>'P &amp; L'!$H$5</c:f>
              <c:strCache>
                <c:ptCount val="1"/>
                <c:pt idx="0">
                  <c:v>mai</c:v>
                </c:pt>
              </c:strCache>
            </c:strRef>
          </c:tx>
          <c:spPr>
            <a:solidFill>
              <a:srgbClr val="660066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'P &amp; L'!$C$22:$C$24</c:f>
              <c:strCache>
                <c:ptCount val="3"/>
                <c:pt idx="0">
                  <c:v>diretas</c:v>
                </c:pt>
                <c:pt idx="1">
                  <c:v>e-comerce</c:v>
                </c:pt>
                <c:pt idx="2">
                  <c:v>representantes</c:v>
                </c:pt>
              </c:strCache>
            </c:strRef>
          </c:cat>
          <c:val>
            <c:numRef>
              <c:f>'P &amp; L'!$H$22:$H$24</c:f>
              <c:numCache>
                <c:formatCode>_("R$"* #,##0.00_);_("R$"* \(#,##0.00\);_("R$"* "-"??_);_(@_)</c:formatCode>
                <c:ptCount val="3"/>
                <c:pt idx="0">
                  <c:v>350000</c:v>
                </c:pt>
                <c:pt idx="1">
                  <c:v>210000</c:v>
                </c:pt>
                <c:pt idx="2">
                  <c:v>140000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0FA0-446F-BD5F-8CABB6736EB2}"/>
            </c:ext>
          </c:extLst>
        </c:ser>
        <c:ser>
          <c:idx val="5"/>
          <c:order val="5"/>
          <c:tx>
            <c:strRef>
              <c:f>'P &amp; L'!$I$5</c:f>
              <c:strCache>
                <c:ptCount val="1"/>
                <c:pt idx="0">
                  <c:v>jun</c:v>
                </c:pt>
              </c:strCache>
            </c:strRef>
          </c:tx>
          <c:spPr>
            <a:solidFill>
              <a:srgbClr val="FF8080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'P &amp; L'!$C$22:$C$24</c:f>
              <c:strCache>
                <c:ptCount val="3"/>
                <c:pt idx="0">
                  <c:v>diretas</c:v>
                </c:pt>
                <c:pt idx="1">
                  <c:v>e-comerce</c:v>
                </c:pt>
                <c:pt idx="2">
                  <c:v>representantes</c:v>
                </c:pt>
              </c:strCache>
            </c:strRef>
          </c:cat>
          <c:val>
            <c:numRef>
              <c:f>'P &amp; L'!$I$22:$I$24</c:f>
              <c:numCache>
                <c:formatCode>_("R$"* #,##0.00_);_("R$"* \(#,##0.00\);_("R$"* "-"??_);_(@_)</c:formatCode>
                <c:ptCount val="3"/>
                <c:pt idx="0">
                  <c:v>365000</c:v>
                </c:pt>
                <c:pt idx="1">
                  <c:v>219000</c:v>
                </c:pt>
                <c:pt idx="2">
                  <c:v>146000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0FA0-446F-BD5F-8CABB6736EB2}"/>
            </c:ext>
          </c:extLst>
        </c:ser>
        <c:ser>
          <c:idx val="6"/>
          <c:order val="6"/>
          <c:tx>
            <c:strRef>
              <c:f>'P &amp; L'!$J$5</c:f>
              <c:strCache>
                <c:ptCount val="1"/>
                <c:pt idx="0">
                  <c:v>jul</c:v>
                </c:pt>
              </c:strCache>
            </c:strRef>
          </c:tx>
          <c:spPr>
            <a:solidFill>
              <a:srgbClr val="0066CC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'P &amp; L'!$C$22:$C$24</c:f>
              <c:strCache>
                <c:ptCount val="3"/>
                <c:pt idx="0">
                  <c:v>diretas</c:v>
                </c:pt>
                <c:pt idx="1">
                  <c:v>e-comerce</c:v>
                </c:pt>
                <c:pt idx="2">
                  <c:v>representantes</c:v>
                </c:pt>
              </c:strCache>
            </c:strRef>
          </c:cat>
          <c:val>
            <c:numRef>
              <c:f>'P &amp; L'!$J$22:$J$24</c:f>
              <c:numCache>
                <c:formatCode>_("R$"* #,##0.00_);_("R$"* \(#,##0.00\);_("R$"* "-"??_);_(@_)</c:formatCode>
                <c:ptCount val="3"/>
                <c:pt idx="0">
                  <c:v>380000</c:v>
                </c:pt>
                <c:pt idx="1">
                  <c:v>228000</c:v>
                </c:pt>
                <c:pt idx="2">
                  <c:v>152000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0FA0-446F-BD5F-8CABB6736EB2}"/>
            </c:ext>
          </c:extLst>
        </c:ser>
        <c:ser>
          <c:idx val="7"/>
          <c:order val="7"/>
          <c:tx>
            <c:strRef>
              <c:f>'P &amp; L'!$K$5</c:f>
              <c:strCache>
                <c:ptCount val="1"/>
                <c:pt idx="0">
                  <c:v>ago</c:v>
                </c:pt>
              </c:strCache>
            </c:strRef>
          </c:tx>
          <c:spPr>
            <a:solidFill>
              <a:srgbClr val="CCCC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'P &amp; L'!$C$22:$C$24</c:f>
              <c:strCache>
                <c:ptCount val="3"/>
                <c:pt idx="0">
                  <c:v>diretas</c:v>
                </c:pt>
                <c:pt idx="1">
                  <c:v>e-comerce</c:v>
                </c:pt>
                <c:pt idx="2">
                  <c:v>representantes</c:v>
                </c:pt>
              </c:strCache>
            </c:strRef>
          </c:cat>
          <c:val>
            <c:numRef>
              <c:f>'P &amp; L'!$K$22:$K$24</c:f>
              <c:numCache>
                <c:formatCode>_("R$"* #,##0.00_);_("R$"* \(#,##0.00\);_("R$"* "-"??_);_(@_)</c:formatCode>
                <c:ptCount val="3"/>
                <c:pt idx="0">
                  <c:v>395000</c:v>
                </c:pt>
                <c:pt idx="1">
                  <c:v>237000</c:v>
                </c:pt>
                <c:pt idx="2">
                  <c:v>158000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0FA0-446F-BD5F-8CABB6736EB2}"/>
            </c:ext>
          </c:extLst>
        </c:ser>
        <c:ser>
          <c:idx val="8"/>
          <c:order val="8"/>
          <c:tx>
            <c:strRef>
              <c:f>'P &amp; L'!$L$5</c:f>
              <c:strCache>
                <c:ptCount val="1"/>
                <c:pt idx="0">
                  <c:v>set</c:v>
                </c:pt>
              </c:strCache>
            </c:strRef>
          </c:tx>
          <c:spPr>
            <a:solidFill>
              <a:srgbClr val="000080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'P &amp; L'!$C$22:$C$24</c:f>
              <c:strCache>
                <c:ptCount val="3"/>
                <c:pt idx="0">
                  <c:v>diretas</c:v>
                </c:pt>
                <c:pt idx="1">
                  <c:v>e-comerce</c:v>
                </c:pt>
                <c:pt idx="2">
                  <c:v>representantes</c:v>
                </c:pt>
              </c:strCache>
            </c:strRef>
          </c:cat>
          <c:val>
            <c:numRef>
              <c:f>'P &amp; L'!$L$22:$L$24</c:f>
              <c:numCache>
                <c:formatCode>_("R$"* #,##0.00_);_("R$"* \(#,##0.00\);_("R$"* "-"??_);_(@_)</c:formatCode>
                <c:ptCount val="3"/>
                <c:pt idx="0">
                  <c:v>410000</c:v>
                </c:pt>
                <c:pt idx="1">
                  <c:v>246000</c:v>
                </c:pt>
                <c:pt idx="2">
                  <c:v>164000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0FA0-446F-BD5F-8CABB6736EB2}"/>
            </c:ext>
          </c:extLst>
        </c:ser>
        <c:ser>
          <c:idx val="9"/>
          <c:order val="9"/>
          <c:tx>
            <c:strRef>
              <c:f>'P &amp; L'!$M$5</c:f>
              <c:strCache>
                <c:ptCount val="1"/>
                <c:pt idx="0">
                  <c:v>out</c:v>
                </c:pt>
              </c:strCache>
            </c:strRef>
          </c:tx>
          <c:spPr>
            <a:solidFill>
              <a:srgbClr val="FF00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'P &amp; L'!$C$22:$C$24</c:f>
              <c:strCache>
                <c:ptCount val="3"/>
                <c:pt idx="0">
                  <c:v>diretas</c:v>
                </c:pt>
                <c:pt idx="1">
                  <c:v>e-comerce</c:v>
                </c:pt>
                <c:pt idx="2">
                  <c:v>representantes</c:v>
                </c:pt>
              </c:strCache>
            </c:strRef>
          </c:cat>
          <c:val>
            <c:numRef>
              <c:f>'P &amp; L'!$M$22:$M$24</c:f>
              <c:numCache>
                <c:formatCode>_("R$"* #,##0.00_);_("R$"* \(#,##0.00\);_("R$"* "-"??_);_(@_)</c:formatCode>
                <c:ptCount val="3"/>
                <c:pt idx="0">
                  <c:v>435000</c:v>
                </c:pt>
                <c:pt idx="1">
                  <c:v>261000</c:v>
                </c:pt>
                <c:pt idx="2">
                  <c:v>174000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0FA0-446F-BD5F-8CABB6736EB2}"/>
            </c:ext>
          </c:extLst>
        </c:ser>
        <c:ser>
          <c:idx val="10"/>
          <c:order val="10"/>
          <c:tx>
            <c:strRef>
              <c:f>'P &amp; L'!$N$5</c:f>
              <c:strCache>
                <c:ptCount val="1"/>
                <c:pt idx="0">
                  <c:v>nov</c:v>
                </c:pt>
              </c:strCache>
            </c:strRef>
          </c:tx>
          <c:spPr>
            <a:solidFill>
              <a:srgbClr val="FFFF00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'P &amp; L'!$C$22:$C$24</c:f>
              <c:strCache>
                <c:ptCount val="3"/>
                <c:pt idx="0">
                  <c:v>diretas</c:v>
                </c:pt>
                <c:pt idx="1">
                  <c:v>e-comerce</c:v>
                </c:pt>
                <c:pt idx="2">
                  <c:v>representantes</c:v>
                </c:pt>
              </c:strCache>
            </c:strRef>
          </c:cat>
          <c:val>
            <c:numRef>
              <c:f>'P &amp; L'!$N$22:$N$24</c:f>
              <c:numCache>
                <c:formatCode>_("R$"* #,##0.00_);_("R$"* \(#,##0.00\);_("R$"* "-"??_);_(@_)</c:formatCode>
                <c:ptCount val="3"/>
                <c:pt idx="0">
                  <c:v>475000</c:v>
                </c:pt>
                <c:pt idx="1">
                  <c:v>285000</c:v>
                </c:pt>
                <c:pt idx="2">
                  <c:v>190000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0FA0-446F-BD5F-8CABB6736EB2}"/>
            </c:ext>
          </c:extLst>
        </c:ser>
        <c:ser>
          <c:idx val="11"/>
          <c:order val="11"/>
          <c:tx>
            <c:strRef>
              <c:f>'P &amp; L'!$O$5</c:f>
              <c:strCache>
                <c:ptCount val="1"/>
                <c:pt idx="0">
                  <c:v>dez</c:v>
                </c:pt>
              </c:strCache>
            </c:strRef>
          </c:tx>
          <c:spPr>
            <a:solidFill>
              <a:srgbClr val="00FF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'P &amp; L'!$C$22:$C$24</c:f>
              <c:strCache>
                <c:ptCount val="3"/>
                <c:pt idx="0">
                  <c:v>diretas</c:v>
                </c:pt>
                <c:pt idx="1">
                  <c:v>e-comerce</c:v>
                </c:pt>
                <c:pt idx="2">
                  <c:v>representantes</c:v>
                </c:pt>
              </c:strCache>
            </c:strRef>
          </c:cat>
          <c:val>
            <c:numRef>
              <c:f>'P &amp; L'!$O$22:$O$24</c:f>
              <c:numCache>
                <c:formatCode>_("R$"* #,##0.00_);_("R$"* \(#,##0.00\);_("R$"* "-"??_);_(@_)</c:formatCode>
                <c:ptCount val="3"/>
                <c:pt idx="0">
                  <c:v>540000</c:v>
                </c:pt>
                <c:pt idx="1">
                  <c:v>324000</c:v>
                </c:pt>
                <c:pt idx="2">
                  <c:v>216000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0FA0-446F-BD5F-8CABB6736EB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35270216"/>
        <c:axId val="335272960"/>
      </c:barChart>
      <c:catAx>
        <c:axId val="33527021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pt-BR"/>
          </a:p>
        </c:txPr>
        <c:crossAx val="335272960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335272960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_(&quot;R$&quot;* #,##0.00_);_(&quot;R$&quot;* \(#,##0.00\);_(&quot;R$&quot;* &quot;-&quot;??_);_(@_)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pt-BR"/>
          </a:p>
        </c:txPr>
        <c:crossAx val="335270216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b"/>
      <c:layout>
        <c:manualLayout>
          <c:xMode val="edge"/>
          <c:yMode val="edge"/>
          <c:x val="0.21359257052830855"/>
          <c:y val="0.90064384466347636"/>
          <c:w val="0.69417585421700279"/>
          <c:h val="7.6923317693677676E-2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92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pt-BR"/>
    </a:p>
  </c:txPr>
  <c:printSettings>
    <c:headerFooter alignWithMargins="0"/>
    <c:pageMargins b="1" l="0.75000000000000011" r="0.75000000000000011" t="1" header="0.4921259850000001" footer="0.4921259850000001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7509622686150905"/>
          <c:y val="6.9658849636748219E-2"/>
          <c:w val="0.85378062545739219"/>
          <c:h val="0.8482917800908929"/>
        </c:manualLayout>
      </c:layout>
      <c:lineChart>
        <c:grouping val="standard"/>
        <c:varyColors val="0"/>
        <c:ser>
          <c:idx val="3"/>
          <c:order val="3"/>
          <c:tx>
            <c:strRef>
              <c:f>'P &amp; L'!$C$53</c:f>
              <c:strCache>
                <c:ptCount val="1"/>
                <c:pt idx="0">
                  <c:v>Materiais</c:v>
                </c:pt>
              </c:strCache>
            </c:strRef>
          </c:tx>
          <c:marker>
            <c:symbol val="none"/>
          </c:marker>
          <c:val>
            <c:numRef>
              <c:f>'P &amp; L'!$D$53:$O$53</c:f>
              <c:numCache>
                <c:formatCode>_("R$"* #,##0.00_);_("R$"* \(#,##0.00\);_("R$"* "-"??_);_(@_)</c:formatCode>
                <c:ptCount val="12"/>
                <c:pt idx="0">
                  <c:v>181582.5</c:v>
                </c:pt>
                <c:pt idx="1">
                  <c:v>188790</c:v>
                </c:pt>
                <c:pt idx="2">
                  <c:v>198927</c:v>
                </c:pt>
                <c:pt idx="3">
                  <c:v>205624.92</c:v>
                </c:pt>
                <c:pt idx="4">
                  <c:v>214830</c:v>
                </c:pt>
                <c:pt idx="5">
                  <c:v>220642.5</c:v>
                </c:pt>
                <c:pt idx="6">
                  <c:v>226176</c:v>
                </c:pt>
                <c:pt idx="7">
                  <c:v>231430.86</c:v>
                </c:pt>
                <c:pt idx="8">
                  <c:v>236406.03</c:v>
                </c:pt>
                <c:pt idx="9">
                  <c:v>246775.5</c:v>
                </c:pt>
                <c:pt idx="10">
                  <c:v>265050</c:v>
                </c:pt>
                <c:pt idx="11">
                  <c:v>296298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6BC-49D1-BA44-E29B68E337E4}"/>
            </c:ext>
          </c:extLst>
        </c:ser>
        <c:ser>
          <c:idx val="4"/>
          <c:order val="4"/>
          <c:tx>
            <c:strRef>
              <c:f>'P &amp; L'!$C$70</c:f>
              <c:strCache>
                <c:ptCount val="1"/>
                <c:pt idx="0">
                  <c:v>mão de obra direta</c:v>
                </c:pt>
              </c:strCache>
            </c:strRef>
          </c:tx>
          <c:marker>
            <c:symbol val="none"/>
          </c:marker>
          <c:val>
            <c:numRef>
              <c:f>'P &amp; L'!$D$70:$O$70</c:f>
              <c:numCache>
                <c:formatCode>_("R$"* #,##0.00_);_("R$"* \(#,##0.00\);_("R$"* "-"??_);_(@_)</c:formatCode>
                <c:ptCount val="12"/>
                <c:pt idx="0">
                  <c:v>56427.25</c:v>
                </c:pt>
                <c:pt idx="1">
                  <c:v>58666.999999999993</c:v>
                </c:pt>
                <c:pt idx="2">
                  <c:v>61817.099999999991</c:v>
                </c:pt>
                <c:pt idx="3">
                  <c:v>63897.9</c:v>
                </c:pt>
                <c:pt idx="4">
                  <c:v>66759</c:v>
                </c:pt>
                <c:pt idx="5">
                  <c:v>68565.25</c:v>
                </c:pt>
                <c:pt idx="6">
                  <c:v>70284.799999999988</c:v>
                </c:pt>
                <c:pt idx="7">
                  <c:v>71917.649999999994</c:v>
                </c:pt>
                <c:pt idx="8">
                  <c:v>73463.8</c:v>
                </c:pt>
                <c:pt idx="9">
                  <c:v>76686.149999999994</c:v>
                </c:pt>
                <c:pt idx="10">
                  <c:v>82365</c:v>
                </c:pt>
                <c:pt idx="11">
                  <c:v>92075.4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6BC-49D1-BA44-E29B68E337E4}"/>
            </c:ext>
          </c:extLst>
        </c:ser>
        <c:ser>
          <c:idx val="5"/>
          <c:order val="5"/>
          <c:tx>
            <c:strRef>
              <c:f>'P &amp; L'!$C$87</c:f>
              <c:strCache>
                <c:ptCount val="1"/>
                <c:pt idx="0">
                  <c:v>custos indiretos</c:v>
                </c:pt>
              </c:strCache>
            </c:strRef>
          </c:tx>
          <c:marker>
            <c:symbol val="none"/>
          </c:marker>
          <c:val>
            <c:numRef>
              <c:f>'P &amp; L'!$D$87:$O$87</c:f>
              <c:numCache>
                <c:formatCode>_("R$"* #,##0.00_);_("R$"* \(#,##0.00\);_("R$"* "-"??_);_(@_)</c:formatCode>
                <c:ptCount val="12"/>
                <c:pt idx="0">
                  <c:v>50784.524999999994</c:v>
                </c:pt>
                <c:pt idx="1">
                  <c:v>52800.299999999996</c:v>
                </c:pt>
                <c:pt idx="2">
                  <c:v>55635.389999999985</c:v>
                </c:pt>
                <c:pt idx="3">
                  <c:v>57506.029200000004</c:v>
                </c:pt>
                <c:pt idx="4">
                  <c:v>60083.1</c:v>
                </c:pt>
                <c:pt idx="5">
                  <c:v>61708.724999999999</c:v>
                </c:pt>
                <c:pt idx="6">
                  <c:v>63256.319999999992</c:v>
                </c:pt>
                <c:pt idx="7">
                  <c:v>64726.116200000004</c:v>
                </c:pt>
                <c:pt idx="8">
                  <c:v>66117.42</c:v>
                </c:pt>
                <c:pt idx="9">
                  <c:v>69017.534999999989</c:v>
                </c:pt>
                <c:pt idx="10">
                  <c:v>74128.5</c:v>
                </c:pt>
                <c:pt idx="11">
                  <c:v>82869.247200000013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6BC-49D1-BA44-E29B68E337E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35271784"/>
        <c:axId val="335273352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'P &amp; L'!$C$41</c15:sqref>
                        </c15:formulaRef>
                      </c:ext>
                    </c:extLst>
                    <c:strCache>
                      <c:ptCount val="1"/>
                      <c:pt idx="0">
                        <c:v>Armário</c:v>
                      </c:pt>
                    </c:strCache>
                  </c:strRef>
                </c:tx>
                <c:marker>
                  <c:symbol val="none"/>
                </c:marker>
                <c:cat>
                  <c:strRef>
                    <c:extLst>
                      <c:ext uri="{02D57815-91ED-43cb-92C2-25804820EDAC}">
                        <c15:formulaRef>
                          <c15:sqref>'P &amp; L'!$D$5:$O$5</c15:sqref>
                        </c15:formulaRef>
                      </c:ext>
                    </c:extLst>
                    <c:strCache>
                      <c:ptCount val="12"/>
                      <c:pt idx="0">
                        <c:v> jan </c:v>
                      </c:pt>
                      <c:pt idx="1">
                        <c:v>fev</c:v>
                      </c:pt>
                      <c:pt idx="2">
                        <c:v>mar</c:v>
                      </c:pt>
                      <c:pt idx="3">
                        <c:v>abr</c:v>
                      </c:pt>
                      <c:pt idx="4">
                        <c:v>mai</c:v>
                      </c:pt>
                      <c:pt idx="5">
                        <c:v>jun</c:v>
                      </c:pt>
                      <c:pt idx="6">
                        <c:v>jul</c:v>
                      </c:pt>
                      <c:pt idx="7">
                        <c:v>ago</c:v>
                      </c:pt>
                      <c:pt idx="8">
                        <c:v>set</c:v>
                      </c:pt>
                      <c:pt idx="9">
                        <c:v>out</c:v>
                      </c:pt>
                      <c:pt idx="10">
                        <c:v>nov</c:v>
                      </c:pt>
                      <c:pt idx="11">
                        <c:v>dez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'P &amp; L'!$D$41:$O$41</c15:sqref>
                        </c15:formulaRef>
                      </c:ext>
                    </c:extLst>
                    <c:numCache>
                      <c:formatCode>_("R$"* #,##0.00_);_("R$"* \(#,##0.00\);_("R$"* "-"??_);_(@_)</c:formatCode>
                      <c:ptCount val="12"/>
                      <c:pt idx="0">
                        <c:v>43319.141250000001</c:v>
                      </c:pt>
                      <c:pt idx="1">
                        <c:v>45038.595000000001</c:v>
                      </c:pt>
                      <c:pt idx="2">
                        <c:v>47456.923500000004</c:v>
                      </c:pt>
                      <c:pt idx="3">
                        <c:v>49054.351499999997</c:v>
                      </c:pt>
                      <c:pt idx="4">
                        <c:v>51250.815000000002</c:v>
                      </c:pt>
                      <c:pt idx="5">
                        <c:v>52637.471250000002</c:v>
                      </c:pt>
                      <c:pt idx="6">
                        <c:v>53957.567999999992</c:v>
                      </c:pt>
                      <c:pt idx="7">
                        <c:v>55211.538749999992</c:v>
                      </c:pt>
                      <c:pt idx="8">
                        <c:v>56398.082999999991</c:v>
                      </c:pt>
                      <c:pt idx="9">
                        <c:v>58871.87775</c:v>
                      </c:pt>
                      <c:pt idx="10">
                        <c:v>63231.525000000001</c:v>
                      </c:pt>
                      <c:pt idx="11">
                        <c:v>70686.188999999998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B19B-41D7-BA10-3FE65430DF83}"/>
                  </c:ext>
                </c:extLst>
              </c15:ser>
            </c15:filteredLineSeries>
            <c15:filteredLine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 &amp; L'!$C$45</c15:sqref>
                        </c15:formulaRef>
                      </c:ext>
                    </c:extLst>
                    <c:strCache>
                      <c:ptCount val="1"/>
                      <c:pt idx="0">
                        <c:v>Painel</c:v>
                      </c:pt>
                    </c:strCache>
                  </c:strRef>
                </c:tx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 &amp; L'!$D$5:$O$5</c15:sqref>
                        </c15:formulaRef>
                      </c:ext>
                    </c:extLst>
                    <c:strCache>
                      <c:ptCount val="12"/>
                      <c:pt idx="0">
                        <c:v> jan </c:v>
                      </c:pt>
                      <c:pt idx="1">
                        <c:v>fev</c:v>
                      </c:pt>
                      <c:pt idx="2">
                        <c:v>mar</c:v>
                      </c:pt>
                      <c:pt idx="3">
                        <c:v>abr</c:v>
                      </c:pt>
                      <c:pt idx="4">
                        <c:v>mai</c:v>
                      </c:pt>
                      <c:pt idx="5">
                        <c:v>jun</c:v>
                      </c:pt>
                      <c:pt idx="6">
                        <c:v>jul</c:v>
                      </c:pt>
                      <c:pt idx="7">
                        <c:v>ago</c:v>
                      </c:pt>
                      <c:pt idx="8">
                        <c:v>set</c:v>
                      </c:pt>
                      <c:pt idx="9">
                        <c:v>out</c:v>
                      </c:pt>
                      <c:pt idx="10">
                        <c:v>nov</c:v>
                      </c:pt>
                      <c:pt idx="11">
                        <c:v>dez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 &amp; L'!$D$45:$O$45</c15:sqref>
                        </c15:formulaRef>
                      </c:ext>
                    </c:extLst>
                    <c:numCache>
                      <c:formatCode>_("R$"* #,##0.00_);_("R$"* \(#,##0.00\);_("R$"* "-"??_);_(@_)</c:formatCode>
                      <c:ptCount val="12"/>
                      <c:pt idx="0">
                        <c:v>28879.427499999998</c:v>
                      </c:pt>
                      <c:pt idx="1">
                        <c:v>30025.73</c:v>
                      </c:pt>
                      <c:pt idx="2">
                        <c:v>31637.948999999993</c:v>
                      </c:pt>
                      <c:pt idx="3">
                        <c:v>32702.901000000005</c:v>
                      </c:pt>
                      <c:pt idx="4">
                        <c:v>34167.21</c:v>
                      </c:pt>
                      <c:pt idx="5">
                        <c:v>35091.647499999999</c:v>
                      </c:pt>
                      <c:pt idx="6">
                        <c:v>35971.712</c:v>
                      </c:pt>
                      <c:pt idx="7">
                        <c:v>36807.4035</c:v>
                      </c:pt>
                      <c:pt idx="8">
                        <c:v>37598.721999999994</c:v>
                      </c:pt>
                      <c:pt idx="9">
                        <c:v>39247.9185</c:v>
                      </c:pt>
                      <c:pt idx="10">
                        <c:v>42154.35</c:v>
                      </c:pt>
                      <c:pt idx="11">
                        <c:v>47124.126000000004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1-B19B-41D7-BA10-3FE65430DF83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 &amp; L'!$C$49</c15:sqref>
                        </c15:formulaRef>
                      </c:ext>
                    </c:extLst>
                    <c:strCache>
                      <c:ptCount val="1"/>
                      <c:pt idx="0">
                        <c:v>Conjunto 5 Banheiro</c:v>
                      </c:pt>
                    </c:strCache>
                  </c:strRef>
                </c:tx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 &amp; L'!$D$5:$O$5</c15:sqref>
                        </c15:formulaRef>
                      </c:ext>
                    </c:extLst>
                    <c:strCache>
                      <c:ptCount val="12"/>
                      <c:pt idx="0">
                        <c:v> jan </c:v>
                      </c:pt>
                      <c:pt idx="1">
                        <c:v>fev</c:v>
                      </c:pt>
                      <c:pt idx="2">
                        <c:v>mar</c:v>
                      </c:pt>
                      <c:pt idx="3">
                        <c:v>abr</c:v>
                      </c:pt>
                      <c:pt idx="4">
                        <c:v>mai</c:v>
                      </c:pt>
                      <c:pt idx="5">
                        <c:v>jun</c:v>
                      </c:pt>
                      <c:pt idx="6">
                        <c:v>jul</c:v>
                      </c:pt>
                      <c:pt idx="7">
                        <c:v>ago</c:v>
                      </c:pt>
                      <c:pt idx="8">
                        <c:v>set</c:v>
                      </c:pt>
                      <c:pt idx="9">
                        <c:v>out</c:v>
                      </c:pt>
                      <c:pt idx="10">
                        <c:v>nov</c:v>
                      </c:pt>
                      <c:pt idx="11">
                        <c:v>dez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 &amp; L'!$D$49:$O$49</c15:sqref>
                        </c15:formulaRef>
                      </c:ext>
                    </c:extLst>
                    <c:numCache>
                      <c:formatCode>_("R$"* #,##0.00_);_("R$"* \(#,##0.00\);_("R$"* "-"??_);_(@_)</c:formatCode>
                      <c:ptCount val="12"/>
                      <c:pt idx="0">
                        <c:v>28879.427499999998</c:v>
                      </c:pt>
                      <c:pt idx="1">
                        <c:v>30025.73</c:v>
                      </c:pt>
                      <c:pt idx="2">
                        <c:v>31637.948999999997</c:v>
                      </c:pt>
                      <c:pt idx="3">
                        <c:v>32702.820600000003</c:v>
                      </c:pt>
                      <c:pt idx="4">
                        <c:v>34167.210000000006</c:v>
                      </c:pt>
                      <c:pt idx="5">
                        <c:v>35091.647499999999</c:v>
                      </c:pt>
                      <c:pt idx="6">
                        <c:v>35971.712</c:v>
                      </c:pt>
                      <c:pt idx="7">
                        <c:v>36807.258999999998</c:v>
                      </c:pt>
                      <c:pt idx="8">
                        <c:v>37598.722000000002</c:v>
                      </c:pt>
                      <c:pt idx="9">
                        <c:v>39247.9185</c:v>
                      </c:pt>
                      <c:pt idx="10">
                        <c:v>42154.350000000006</c:v>
                      </c:pt>
                      <c:pt idx="11">
                        <c:v>47124.819600000003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B19B-41D7-BA10-3FE65430DF83}"/>
                  </c:ext>
                </c:extLst>
              </c15:ser>
            </c15:filteredLineSeries>
          </c:ext>
        </c:extLst>
      </c:lineChart>
      <c:catAx>
        <c:axId val="335271784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335273352"/>
        <c:crosses val="autoZero"/>
        <c:auto val="1"/>
        <c:lblAlgn val="ctr"/>
        <c:lblOffset val="100"/>
        <c:noMultiLvlLbl val="0"/>
      </c:catAx>
      <c:valAx>
        <c:axId val="335273352"/>
        <c:scaling>
          <c:orientation val="minMax"/>
        </c:scaling>
        <c:delete val="0"/>
        <c:axPos val="l"/>
        <c:majorGridlines/>
        <c:numFmt formatCode="_(&quot;R$&quot;* #,##0.00_);_(&quot;R$&quot;* \(#,##0.00\);_(&quot;R$&quot;* &quot;-&quot;??_);_(@_)" sourceLinked="1"/>
        <c:majorTickMark val="out"/>
        <c:minorTickMark val="none"/>
        <c:tickLblPos val="nextTo"/>
        <c:crossAx val="335271784"/>
        <c:crosses val="autoZero"/>
        <c:crossBetween val="between"/>
      </c:valAx>
    </c:plotArea>
    <c:legend>
      <c:legendPos val="b"/>
      <c:layout>
        <c:manualLayout>
          <c:xMode val="edge"/>
          <c:yMode val="edge"/>
          <c:x val="0.17377116626039621"/>
          <c:y val="0.94640834664113227"/>
          <c:w val="0.65245749775196249"/>
          <c:h val="3.9030625357934716E-2"/>
        </c:manualLayout>
      </c:layout>
      <c:overlay val="0"/>
    </c:legend>
    <c:plotVisOnly val="1"/>
    <c:dispBlanksAs val="gap"/>
    <c:showDLblsOverMax val="0"/>
  </c:chart>
  <c:printSettings>
    <c:headerFooter/>
    <c:pageMargins b="0.75000000000000011" l="0.70000000000000007" r="0.70000000000000007" t="0.75000000000000011" header="0.30000000000000004" footer="0.30000000000000004"/>
    <c:pageSetup orientation="portrait"/>
  </c:printSettings>
  <c:userShapes r:id="rId1"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3586810355291895"/>
          <c:y val="0.12096897306733043"/>
          <c:w val="0.83959120870704307"/>
          <c:h val="0.79407829935991037"/>
        </c:manualLayout>
      </c:layout>
      <c:lineChart>
        <c:grouping val="standard"/>
        <c:varyColors val="0"/>
        <c:ser>
          <c:idx val="0"/>
          <c:order val="0"/>
          <c:tx>
            <c:strRef>
              <c:f>'P &amp; L'!$C$104</c:f>
              <c:strCache>
                <c:ptCount val="1"/>
                <c:pt idx="0">
                  <c:v>Lucro Bruto</c:v>
                </c:pt>
              </c:strCache>
            </c:strRef>
          </c:tx>
          <c:marker>
            <c:symbol val="diamond"/>
            <c:size val="5"/>
          </c:marker>
          <c:dLbls>
            <c:numFmt formatCode="General" sourceLinked="0"/>
            <c:spPr>
              <a:noFill/>
              <a:ln>
                <a:noFill/>
              </a:ln>
              <a:effectLst/>
            </c:spPr>
            <c:dLblPos val="t"/>
            <c:showLegendKey val="0"/>
            <c:showVal val="1"/>
            <c:showCatName val="0"/>
            <c:showSerName val="0"/>
            <c:showPercent val="0"/>
            <c:showBubbleSize val="0"/>
            <c:separator>.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'P &amp; L'!$D$5:$O$5</c:f>
              <c:strCache>
                <c:ptCount val="12"/>
                <c:pt idx="0">
                  <c:v> jan 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out</c:v>
                </c:pt>
                <c:pt idx="10">
                  <c:v>nov</c:v>
                </c:pt>
                <c:pt idx="11">
                  <c:v>dez</c:v>
                </c:pt>
              </c:strCache>
            </c:strRef>
          </c:cat>
          <c:val>
            <c:numRef>
              <c:f>'P &amp; L'!$D$104:$O$104</c:f>
              <c:numCache>
                <c:formatCode>_("R$"* #,##0.00_);_("R$"* \(#,##0.00\);_("R$"* "-"??_);_(@_)</c:formatCode>
                <c:ptCount val="12"/>
                <c:pt idx="0">
                  <c:v>261205.72499999998</c:v>
                </c:pt>
                <c:pt idx="1">
                  <c:v>279742.7</c:v>
                </c:pt>
                <c:pt idx="2">
                  <c:v>303620.51</c:v>
                </c:pt>
                <c:pt idx="3">
                  <c:v>332971.1508</c:v>
                </c:pt>
                <c:pt idx="4">
                  <c:v>358327.9</c:v>
                </c:pt>
                <c:pt idx="5">
                  <c:v>379083.52500000002</c:v>
                </c:pt>
                <c:pt idx="6">
                  <c:v>400282.88</c:v>
                </c:pt>
                <c:pt idx="7">
                  <c:v>421925.37379999994</c:v>
                </c:pt>
                <c:pt idx="8">
                  <c:v>444012.75</c:v>
                </c:pt>
                <c:pt idx="9">
                  <c:v>477520.81499999994</c:v>
                </c:pt>
                <c:pt idx="10">
                  <c:v>528456.5</c:v>
                </c:pt>
                <c:pt idx="11">
                  <c:v>608757.35279999999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D68-4CC7-9A62-7D7A0463BAE5}"/>
            </c:ext>
          </c:extLst>
        </c:ser>
        <c:ser>
          <c:idx val="1"/>
          <c:order val="1"/>
          <c:tx>
            <c:strRef>
              <c:f>'P &amp; L'!$C$107</c:f>
              <c:strCache>
                <c:ptCount val="1"/>
                <c:pt idx="0">
                  <c:v>Conjunto 1 Quarto</c:v>
                </c:pt>
              </c:strCache>
            </c:strRef>
          </c:tx>
          <c:marker>
            <c:symbol val="none"/>
          </c:marker>
          <c:cat>
            <c:strRef>
              <c:f>'P &amp; L'!$D$5:$O$5</c:f>
              <c:strCache>
                <c:ptCount val="12"/>
                <c:pt idx="0">
                  <c:v> jan 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out</c:v>
                </c:pt>
                <c:pt idx="10">
                  <c:v>nov</c:v>
                </c:pt>
                <c:pt idx="11">
                  <c:v>dez</c:v>
                </c:pt>
              </c:strCache>
            </c:strRef>
          </c:cat>
          <c:val>
            <c:numRef>
              <c:f>'P &amp; L'!$D$107:$O$107</c:f>
              <c:numCache>
                <c:formatCode>_("R$"* #,##0.00_);_("R$"* \(#,##0.00\);_("R$"* "-"??_);_(@_)</c:formatCode>
                <c:ptCount val="12"/>
                <c:pt idx="0">
                  <c:v>78361.717499999999</c:v>
                </c:pt>
                <c:pt idx="1">
                  <c:v>83922.81</c:v>
                </c:pt>
                <c:pt idx="2">
                  <c:v>91086.15300000002</c:v>
                </c:pt>
                <c:pt idx="3">
                  <c:v>99891.296999999991</c:v>
                </c:pt>
                <c:pt idx="4">
                  <c:v>107498.37000000001</c:v>
                </c:pt>
                <c:pt idx="5">
                  <c:v>113725.05750000001</c:v>
                </c:pt>
                <c:pt idx="6">
                  <c:v>120084.864</c:v>
                </c:pt>
                <c:pt idx="7">
                  <c:v>126577.7763</c:v>
                </c:pt>
                <c:pt idx="8">
                  <c:v>133203.804</c:v>
                </c:pt>
                <c:pt idx="9">
                  <c:v>143256.2445</c:v>
                </c:pt>
                <c:pt idx="10">
                  <c:v>158536.95000000001</c:v>
                </c:pt>
                <c:pt idx="11">
                  <c:v>182627.622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D68-4CC7-9A62-7D7A0463BAE5}"/>
            </c:ext>
          </c:extLst>
        </c:ser>
        <c:ser>
          <c:idx val="2"/>
          <c:order val="2"/>
          <c:tx>
            <c:strRef>
              <c:f>'P &amp; L'!$C$108</c:f>
              <c:strCache>
                <c:ptCount val="1"/>
                <c:pt idx="0">
                  <c:v>Conjunto 2 Cozinha</c:v>
                </c:pt>
              </c:strCache>
            </c:strRef>
          </c:tx>
          <c:marker>
            <c:symbol val="none"/>
          </c:marker>
          <c:cat>
            <c:strRef>
              <c:f>'P &amp; L'!$D$5:$O$5</c:f>
              <c:strCache>
                <c:ptCount val="12"/>
                <c:pt idx="0">
                  <c:v> jan 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out</c:v>
                </c:pt>
                <c:pt idx="10">
                  <c:v>nov</c:v>
                </c:pt>
                <c:pt idx="11">
                  <c:v>dez</c:v>
                </c:pt>
              </c:strCache>
            </c:strRef>
          </c:cat>
          <c:val>
            <c:numRef>
              <c:f>'P &amp; L'!$D$108:$O$108</c:f>
              <c:numCache>
                <c:formatCode>_("R$"* #,##0.00_);_("R$"* \(#,##0.00\);_("R$"* "-"??_);_(@_)</c:formatCode>
                <c:ptCount val="12"/>
                <c:pt idx="0">
                  <c:v>65301.431249999994</c:v>
                </c:pt>
                <c:pt idx="1">
                  <c:v>69935.675000000003</c:v>
                </c:pt>
                <c:pt idx="2">
                  <c:v>75905.127500000002</c:v>
                </c:pt>
                <c:pt idx="3">
                  <c:v>83242.747499999998</c:v>
                </c:pt>
                <c:pt idx="4">
                  <c:v>89581.975000000006</c:v>
                </c:pt>
                <c:pt idx="5">
                  <c:v>94770.881250000006</c:v>
                </c:pt>
                <c:pt idx="6">
                  <c:v>100070.72</c:v>
                </c:pt>
                <c:pt idx="7">
                  <c:v>105481.05775000001</c:v>
                </c:pt>
                <c:pt idx="8">
                  <c:v>111003.19500000001</c:v>
                </c:pt>
                <c:pt idx="9">
                  <c:v>119380.20375</c:v>
                </c:pt>
                <c:pt idx="10">
                  <c:v>132114.125</c:v>
                </c:pt>
                <c:pt idx="11">
                  <c:v>152189.685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D68-4CC7-9A62-7D7A0463BAE5}"/>
            </c:ext>
          </c:extLst>
        </c:ser>
        <c:ser>
          <c:idx val="3"/>
          <c:order val="3"/>
          <c:tx>
            <c:strRef>
              <c:f>'P &amp; L'!$C$109</c:f>
              <c:strCache>
                <c:ptCount val="1"/>
                <c:pt idx="0">
                  <c:v>Conjunto 3 Sala</c:v>
                </c:pt>
              </c:strCache>
            </c:strRef>
          </c:tx>
          <c:marker>
            <c:symbol val="none"/>
          </c:marker>
          <c:cat>
            <c:strRef>
              <c:f>'P &amp; L'!$D$5:$O$5</c:f>
              <c:strCache>
                <c:ptCount val="12"/>
                <c:pt idx="0">
                  <c:v> jan 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out</c:v>
                </c:pt>
                <c:pt idx="10">
                  <c:v>nov</c:v>
                </c:pt>
                <c:pt idx="11">
                  <c:v>dez</c:v>
                </c:pt>
              </c:strCache>
            </c:strRef>
          </c:cat>
          <c:val>
            <c:numRef>
              <c:f>'P &amp; L'!$D$109:$O$109</c:f>
              <c:numCache>
                <c:formatCode>_("R$"* #,##0.00_);_("R$"* \(#,##0.00\);_("R$"* "-"??_);_(@_)</c:formatCode>
                <c:ptCount val="12"/>
                <c:pt idx="0">
                  <c:v>65301.431249999994</c:v>
                </c:pt>
                <c:pt idx="1">
                  <c:v>69935.675000000003</c:v>
                </c:pt>
                <c:pt idx="2">
                  <c:v>75905.127500000002</c:v>
                </c:pt>
                <c:pt idx="3">
                  <c:v>83242.747499999998</c:v>
                </c:pt>
                <c:pt idx="4">
                  <c:v>89581.975000000006</c:v>
                </c:pt>
                <c:pt idx="5">
                  <c:v>94770.881250000006</c:v>
                </c:pt>
                <c:pt idx="6">
                  <c:v>100070.72</c:v>
                </c:pt>
                <c:pt idx="7">
                  <c:v>105481.05775000001</c:v>
                </c:pt>
                <c:pt idx="8">
                  <c:v>111003.19500000001</c:v>
                </c:pt>
                <c:pt idx="9">
                  <c:v>119380.20375</c:v>
                </c:pt>
                <c:pt idx="10">
                  <c:v>132114.125</c:v>
                </c:pt>
                <c:pt idx="11">
                  <c:v>152189.685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CD68-4CC7-9A62-7D7A0463BAE5}"/>
            </c:ext>
          </c:extLst>
        </c:ser>
        <c:ser>
          <c:idx val="4"/>
          <c:order val="4"/>
          <c:tx>
            <c:strRef>
              <c:f>'P &amp; L'!$C$110</c:f>
              <c:strCache>
                <c:ptCount val="1"/>
                <c:pt idx="0">
                  <c:v>Conjunto 4 Escritório</c:v>
                </c:pt>
              </c:strCache>
            </c:strRef>
          </c:tx>
          <c:cat>
            <c:strRef>
              <c:f>'P &amp; L'!$D$5:$O$5</c:f>
              <c:strCache>
                <c:ptCount val="12"/>
                <c:pt idx="0">
                  <c:v> jan 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out</c:v>
                </c:pt>
                <c:pt idx="10">
                  <c:v>nov</c:v>
                </c:pt>
                <c:pt idx="11">
                  <c:v>dez</c:v>
                </c:pt>
              </c:strCache>
            </c:strRef>
          </c:cat>
          <c:val>
            <c:numRef>
              <c:f>'P &amp; L'!$D$110:$O$110</c:f>
              <c:numCache>
                <c:formatCode>_("R$"* #,##0.00_);_("R$"* \(#,##0.00\);_("R$"* "-"??_);_(@_)</c:formatCode>
                <c:ptCount val="12"/>
                <c:pt idx="0">
                  <c:v>26120.572500000002</c:v>
                </c:pt>
                <c:pt idx="1">
                  <c:v>27974.27</c:v>
                </c:pt>
                <c:pt idx="2">
                  <c:v>30362.051000000003</c:v>
                </c:pt>
                <c:pt idx="3">
                  <c:v>33297.179399999994</c:v>
                </c:pt>
                <c:pt idx="4">
                  <c:v>35832.789999999994</c:v>
                </c:pt>
                <c:pt idx="5">
                  <c:v>37908.352500000001</c:v>
                </c:pt>
                <c:pt idx="6">
                  <c:v>40028.288</c:v>
                </c:pt>
                <c:pt idx="7">
                  <c:v>42192.741000000002</c:v>
                </c:pt>
                <c:pt idx="8">
                  <c:v>44401.277999999998</c:v>
                </c:pt>
                <c:pt idx="9">
                  <c:v>47752.0815</c:v>
                </c:pt>
                <c:pt idx="10">
                  <c:v>52845.649999999994</c:v>
                </c:pt>
                <c:pt idx="11">
                  <c:v>60875.180399999997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A05-44A0-A2D2-2CBA1AFE11C9}"/>
            </c:ext>
          </c:extLst>
        </c:ser>
        <c:ser>
          <c:idx val="5"/>
          <c:order val="5"/>
          <c:tx>
            <c:strRef>
              <c:f>'P &amp; L'!$C$111</c:f>
              <c:strCache>
                <c:ptCount val="1"/>
                <c:pt idx="0">
                  <c:v>Conjunto 5 Banheiro</c:v>
                </c:pt>
              </c:strCache>
            </c:strRef>
          </c:tx>
          <c:cat>
            <c:strRef>
              <c:f>'P &amp; L'!$D$5:$O$5</c:f>
              <c:strCache>
                <c:ptCount val="12"/>
                <c:pt idx="0">
                  <c:v> jan 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out</c:v>
                </c:pt>
                <c:pt idx="10">
                  <c:v>nov</c:v>
                </c:pt>
                <c:pt idx="11">
                  <c:v>dez</c:v>
                </c:pt>
              </c:strCache>
            </c:strRef>
          </c:cat>
          <c:val>
            <c:numRef>
              <c:f>'P &amp; L'!$D$111:$O$111</c:f>
              <c:numCache>
                <c:formatCode>_("R$"* #,##0.00_);_("R$"* \(#,##0.00\);_("R$"* "-"??_);_(@_)</c:formatCode>
                <c:ptCount val="12"/>
                <c:pt idx="0">
                  <c:v>26120.572500000002</c:v>
                </c:pt>
                <c:pt idx="1">
                  <c:v>27974.27</c:v>
                </c:pt>
                <c:pt idx="2">
                  <c:v>30362.051000000003</c:v>
                </c:pt>
                <c:pt idx="3">
                  <c:v>33297.179399999994</c:v>
                </c:pt>
                <c:pt idx="4">
                  <c:v>35832.789999999994</c:v>
                </c:pt>
                <c:pt idx="5">
                  <c:v>37908.352500000001</c:v>
                </c:pt>
                <c:pt idx="6">
                  <c:v>40028.288</c:v>
                </c:pt>
                <c:pt idx="7">
                  <c:v>42192.741000000002</c:v>
                </c:pt>
                <c:pt idx="8">
                  <c:v>44401.277999999998</c:v>
                </c:pt>
                <c:pt idx="9">
                  <c:v>47752.0815</c:v>
                </c:pt>
                <c:pt idx="10">
                  <c:v>52845.649999999994</c:v>
                </c:pt>
                <c:pt idx="11">
                  <c:v>60875.180399999997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A05-44A0-A2D2-2CBA1AFE11C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35274136"/>
        <c:axId val="387581424"/>
      </c:lineChart>
      <c:catAx>
        <c:axId val="335274136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387581424"/>
        <c:crosses val="autoZero"/>
        <c:auto val="1"/>
        <c:lblAlgn val="ctr"/>
        <c:lblOffset val="100"/>
        <c:noMultiLvlLbl val="0"/>
      </c:catAx>
      <c:valAx>
        <c:axId val="387581424"/>
        <c:scaling>
          <c:orientation val="minMax"/>
        </c:scaling>
        <c:delete val="0"/>
        <c:axPos val="l"/>
        <c:majorGridlines/>
        <c:numFmt formatCode="_(&quot;R$&quot;* #,##0.00_);_(&quot;R$&quot;* \(#,##0.00\);_(&quot;R$&quot;* &quot;-&quot;??_);_(@_)" sourceLinked="1"/>
        <c:majorTickMark val="out"/>
        <c:minorTickMark val="none"/>
        <c:tickLblPos val="nextTo"/>
        <c:crossAx val="335274136"/>
        <c:crosses val="autoZero"/>
        <c:crossBetween val="between"/>
      </c:valAx>
    </c:plotArea>
    <c:legend>
      <c:legendPos val="b"/>
      <c:overlay val="0"/>
    </c:legend>
    <c:plotVisOnly val="1"/>
    <c:dispBlanksAs val="gap"/>
    <c:showDLblsOverMax val="0"/>
  </c:chart>
  <c:printSettings>
    <c:headerFooter/>
    <c:pageMargins b="0.75000000000000011" l="0.70000000000000007" r="0.70000000000000007" t="0.75000000000000011" header="0.30000000000000004" footer="0.30000000000000004"/>
    <c:pageSetup/>
  </c:printSettings>
  <c:userShapes r:id="rId1"/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352565772224141"/>
          <c:y val="0.11409786150575858"/>
          <c:w val="0.8378559803421235"/>
          <c:h val="0.70045604139858908"/>
        </c:manualLayout>
      </c:layout>
      <c:lineChart>
        <c:grouping val="standard"/>
        <c:varyColors val="0"/>
        <c:ser>
          <c:idx val="0"/>
          <c:order val="0"/>
          <c:tx>
            <c:strRef>
              <c:f>'P &amp; L'!$C$7</c:f>
              <c:strCache>
                <c:ptCount val="1"/>
                <c:pt idx="0">
                  <c:v>Receita Liquida</c:v>
                </c:pt>
              </c:strCache>
            </c:strRef>
          </c:tx>
          <c:marker>
            <c:symbol val="none"/>
          </c:marker>
          <c:dLbls>
            <c:dLbl>
              <c:idx val="10"/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separator>.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8702-4919-BF0E-DB45B95F174C}"/>
                </c:ext>
              </c:extLst>
            </c:dLbl>
            <c:numFmt formatCode="0" sourceLinked="0"/>
            <c:spPr>
              <a:effectLst>
                <a:glow rad="127000">
                  <a:schemeClr val="tx2"/>
                </a:glow>
              </a:effectLst>
            </c:sp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'P &amp; L'!$D$5:$O$5</c:f>
              <c:strCache>
                <c:ptCount val="12"/>
                <c:pt idx="0">
                  <c:v> jan 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out</c:v>
                </c:pt>
                <c:pt idx="10">
                  <c:v>nov</c:v>
                </c:pt>
                <c:pt idx="11">
                  <c:v>dez</c:v>
                </c:pt>
              </c:strCache>
            </c:strRef>
          </c:cat>
          <c:val>
            <c:numRef>
              <c:f>'P &amp; L'!$D$7:$O$7</c:f>
              <c:numCache>
                <c:formatCode>_("R$"* #,##0.00_);_("R$"* \(#,##0.00\);_("R$"* "-"??_);_(@_)</c:formatCode>
                <c:ptCount val="12"/>
                <c:pt idx="0">
                  <c:v>550000</c:v>
                </c:pt>
                <c:pt idx="1">
                  <c:v>580000</c:v>
                </c:pt>
                <c:pt idx="2">
                  <c:v>620000</c:v>
                </c:pt>
                <c:pt idx="3">
                  <c:v>660000</c:v>
                </c:pt>
                <c:pt idx="4">
                  <c:v>700000</c:v>
                </c:pt>
                <c:pt idx="5">
                  <c:v>730000</c:v>
                </c:pt>
                <c:pt idx="6">
                  <c:v>760000</c:v>
                </c:pt>
                <c:pt idx="7">
                  <c:v>790000</c:v>
                </c:pt>
                <c:pt idx="8">
                  <c:v>820000</c:v>
                </c:pt>
                <c:pt idx="9">
                  <c:v>870000</c:v>
                </c:pt>
                <c:pt idx="10">
                  <c:v>950000</c:v>
                </c:pt>
                <c:pt idx="11">
                  <c:v>1080000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702-4919-BF0E-DB45B95F174C}"/>
            </c:ext>
          </c:extLst>
        </c:ser>
        <c:ser>
          <c:idx val="1"/>
          <c:order val="1"/>
          <c:tx>
            <c:strRef>
              <c:f>'P &amp; L'!$C$38</c:f>
              <c:strCache>
                <c:ptCount val="1"/>
                <c:pt idx="0">
                  <c:v>Guarda Roupas</c:v>
                </c:pt>
              </c:strCache>
            </c:strRef>
          </c:tx>
          <c:marker>
            <c:symbol val="none"/>
          </c:marker>
          <c:cat>
            <c:strRef>
              <c:f>'P &amp; L'!$D$5:$O$5</c:f>
              <c:strCache>
                <c:ptCount val="12"/>
                <c:pt idx="0">
                  <c:v> jan 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out</c:v>
                </c:pt>
                <c:pt idx="10">
                  <c:v>nov</c:v>
                </c:pt>
                <c:pt idx="11">
                  <c:v>dez</c:v>
                </c:pt>
              </c:strCache>
            </c:strRef>
          </c:cat>
          <c:val>
            <c:numRef>
              <c:f>'P &amp; L'!$D$38:$O$38</c:f>
              <c:numCache>
                <c:formatCode>_("R$"* #,##0.00_);_("R$"* \(#,##0.00\);_("R$"* "-"??_);_(@_)</c:formatCode>
                <c:ptCount val="12"/>
                <c:pt idx="0">
                  <c:v>51982.969500000007</c:v>
                </c:pt>
                <c:pt idx="1">
                  <c:v>54046.313999999998</c:v>
                </c:pt>
                <c:pt idx="2">
                  <c:v>56948.308199999992</c:v>
                </c:pt>
                <c:pt idx="3">
                  <c:v>58865.221799999999</c:v>
                </c:pt>
                <c:pt idx="4">
                  <c:v>61500.977999999988</c:v>
                </c:pt>
                <c:pt idx="5">
                  <c:v>63164.965499999991</c:v>
                </c:pt>
                <c:pt idx="6">
                  <c:v>64749.081600000005</c:v>
                </c:pt>
                <c:pt idx="7">
                  <c:v>66253.326300000001</c:v>
                </c:pt>
                <c:pt idx="8">
                  <c:v>67677.699599999993</c:v>
                </c:pt>
                <c:pt idx="9">
                  <c:v>70646.253299999997</c:v>
                </c:pt>
                <c:pt idx="10">
                  <c:v>75877.83</c:v>
                </c:pt>
                <c:pt idx="11">
                  <c:v>84823.426800000001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702-4919-BF0E-DB45B95F174C}"/>
            </c:ext>
          </c:extLst>
        </c:ser>
        <c:ser>
          <c:idx val="2"/>
          <c:order val="2"/>
          <c:tx>
            <c:strRef>
              <c:f>'P &amp; L'!$C$104</c:f>
              <c:strCache>
                <c:ptCount val="1"/>
                <c:pt idx="0">
                  <c:v>Lucro Bruto</c:v>
                </c:pt>
              </c:strCache>
            </c:strRef>
          </c:tx>
          <c:marker>
            <c:symbol val="none"/>
          </c:marker>
          <c:cat>
            <c:strRef>
              <c:f>'P &amp; L'!$D$5:$O$5</c:f>
              <c:strCache>
                <c:ptCount val="12"/>
                <c:pt idx="0">
                  <c:v> jan 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out</c:v>
                </c:pt>
                <c:pt idx="10">
                  <c:v>nov</c:v>
                </c:pt>
                <c:pt idx="11">
                  <c:v>dez</c:v>
                </c:pt>
              </c:strCache>
            </c:strRef>
          </c:cat>
          <c:val>
            <c:numRef>
              <c:f>'P &amp; L'!$D$104:$O$104</c:f>
              <c:numCache>
                <c:formatCode>_("R$"* #,##0.00_);_("R$"* \(#,##0.00\);_("R$"* "-"??_);_(@_)</c:formatCode>
                <c:ptCount val="12"/>
                <c:pt idx="0">
                  <c:v>261205.72499999998</c:v>
                </c:pt>
                <c:pt idx="1">
                  <c:v>279742.7</c:v>
                </c:pt>
                <c:pt idx="2">
                  <c:v>303620.51</c:v>
                </c:pt>
                <c:pt idx="3">
                  <c:v>332971.1508</c:v>
                </c:pt>
                <c:pt idx="4">
                  <c:v>358327.9</c:v>
                </c:pt>
                <c:pt idx="5">
                  <c:v>379083.52500000002</c:v>
                </c:pt>
                <c:pt idx="6">
                  <c:v>400282.88</c:v>
                </c:pt>
                <c:pt idx="7">
                  <c:v>421925.37379999994</c:v>
                </c:pt>
                <c:pt idx="8">
                  <c:v>444012.75</c:v>
                </c:pt>
                <c:pt idx="9">
                  <c:v>477520.81499999994</c:v>
                </c:pt>
                <c:pt idx="10">
                  <c:v>528456.5</c:v>
                </c:pt>
                <c:pt idx="11">
                  <c:v>608757.35279999999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8702-4919-BF0E-DB45B95F174C}"/>
            </c:ext>
          </c:extLst>
        </c:ser>
        <c:ser>
          <c:idx val="3"/>
          <c:order val="3"/>
          <c:tx>
            <c:strRef>
              <c:f>'P &amp; L'!$C$113</c:f>
              <c:strCache>
                <c:ptCount val="1"/>
                <c:pt idx="0">
                  <c:v>Despesas Administrativas e Comerciais</c:v>
                </c:pt>
              </c:strCache>
            </c:strRef>
          </c:tx>
          <c:marker>
            <c:symbol val="none"/>
          </c:marker>
          <c:cat>
            <c:strRef>
              <c:f>'P &amp; L'!$D$5:$O$5</c:f>
              <c:strCache>
                <c:ptCount val="12"/>
                <c:pt idx="0">
                  <c:v> jan 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out</c:v>
                </c:pt>
                <c:pt idx="10">
                  <c:v>nov</c:v>
                </c:pt>
                <c:pt idx="11">
                  <c:v>dez</c:v>
                </c:pt>
              </c:strCache>
            </c:strRef>
          </c:cat>
          <c:val>
            <c:numRef>
              <c:f>'P &amp; L'!$D$113:$O$113</c:f>
              <c:numCache>
                <c:formatCode>_("R$"* #,##0.00_);_("R$"* \(#,##0.00\);_("R$"* "-"??_);_(@_)</c:formatCode>
                <c:ptCount val="12"/>
                <c:pt idx="0">
                  <c:v>165000</c:v>
                </c:pt>
                <c:pt idx="1">
                  <c:v>174000</c:v>
                </c:pt>
                <c:pt idx="2">
                  <c:v>186000</c:v>
                </c:pt>
                <c:pt idx="3">
                  <c:v>198000</c:v>
                </c:pt>
                <c:pt idx="4">
                  <c:v>210000</c:v>
                </c:pt>
                <c:pt idx="5">
                  <c:v>219000</c:v>
                </c:pt>
                <c:pt idx="6">
                  <c:v>228000</c:v>
                </c:pt>
                <c:pt idx="7">
                  <c:v>237000</c:v>
                </c:pt>
                <c:pt idx="8">
                  <c:v>246000</c:v>
                </c:pt>
                <c:pt idx="9">
                  <c:v>261000</c:v>
                </c:pt>
                <c:pt idx="10">
                  <c:v>285000</c:v>
                </c:pt>
                <c:pt idx="11">
                  <c:v>324000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8702-4919-BF0E-DB45B95F174C}"/>
            </c:ext>
          </c:extLst>
        </c:ser>
        <c:ser>
          <c:idx val="4"/>
          <c:order val="4"/>
          <c:tx>
            <c:strRef>
              <c:f>'P &amp; L'!$C$113</c:f>
              <c:strCache>
                <c:ptCount val="1"/>
                <c:pt idx="0">
                  <c:v>Despesas Administrativas e Comerciais</c:v>
                </c:pt>
              </c:strCache>
            </c:strRef>
          </c:tx>
          <c:marker>
            <c:symbol val="none"/>
          </c:marker>
          <c:cat>
            <c:strRef>
              <c:f>'P &amp; L'!$D$5:$O$5</c:f>
              <c:strCache>
                <c:ptCount val="12"/>
                <c:pt idx="0">
                  <c:v> jan 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out</c:v>
                </c:pt>
                <c:pt idx="10">
                  <c:v>nov</c:v>
                </c:pt>
                <c:pt idx="11">
                  <c:v>dez</c:v>
                </c:pt>
              </c:strCache>
            </c:strRef>
          </c:cat>
          <c:val>
            <c:numRef>
              <c:f>'P &amp; L'!$D$113:$O$113</c:f>
              <c:numCache>
                <c:formatCode>_("R$"* #,##0.00_);_("R$"* \(#,##0.00\);_("R$"* "-"??_);_(@_)</c:formatCode>
                <c:ptCount val="12"/>
                <c:pt idx="0">
                  <c:v>165000</c:v>
                </c:pt>
                <c:pt idx="1">
                  <c:v>174000</c:v>
                </c:pt>
                <c:pt idx="2">
                  <c:v>186000</c:v>
                </c:pt>
                <c:pt idx="3">
                  <c:v>198000</c:v>
                </c:pt>
                <c:pt idx="4">
                  <c:v>210000</c:v>
                </c:pt>
                <c:pt idx="5">
                  <c:v>219000</c:v>
                </c:pt>
                <c:pt idx="6">
                  <c:v>228000</c:v>
                </c:pt>
                <c:pt idx="7">
                  <c:v>237000</c:v>
                </c:pt>
                <c:pt idx="8">
                  <c:v>246000</c:v>
                </c:pt>
                <c:pt idx="9">
                  <c:v>261000</c:v>
                </c:pt>
                <c:pt idx="10">
                  <c:v>285000</c:v>
                </c:pt>
                <c:pt idx="11">
                  <c:v>324000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8702-4919-BF0E-DB45B95F174C}"/>
            </c:ext>
          </c:extLst>
        </c:ser>
        <c:ser>
          <c:idx val="5"/>
          <c:order val="5"/>
          <c:tx>
            <c:strRef>
              <c:f>'P &amp; L'!$C$130</c:f>
              <c:strCache>
                <c:ptCount val="1"/>
                <c:pt idx="0">
                  <c:v>Outras despesas / receitas</c:v>
                </c:pt>
              </c:strCache>
            </c:strRef>
          </c:tx>
          <c:marker>
            <c:symbol val="none"/>
          </c:marker>
          <c:cat>
            <c:strRef>
              <c:f>'P &amp; L'!$D$5:$O$5</c:f>
              <c:strCache>
                <c:ptCount val="12"/>
                <c:pt idx="0">
                  <c:v> jan 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out</c:v>
                </c:pt>
                <c:pt idx="10">
                  <c:v>nov</c:v>
                </c:pt>
                <c:pt idx="11">
                  <c:v>dez</c:v>
                </c:pt>
              </c:strCache>
            </c:strRef>
          </c:cat>
          <c:val>
            <c:numRef>
              <c:f>'P &amp; L'!$D$130:$O$130</c:f>
              <c:numCache>
                <c:formatCode>_("R$"* #,##0.00_);_("R$"* \(#,##0.00\);_("R$"* "-"??_);_(@_)</c:formatCode>
                <c:ptCount val="12"/>
                <c:pt idx="0">
                  <c:v>1500</c:v>
                </c:pt>
                <c:pt idx="1">
                  <c:v>1570</c:v>
                </c:pt>
                <c:pt idx="2">
                  <c:v>1650</c:v>
                </c:pt>
                <c:pt idx="3">
                  <c:v>1730</c:v>
                </c:pt>
                <c:pt idx="4">
                  <c:v>1800</c:v>
                </c:pt>
                <c:pt idx="5">
                  <c:v>1870</c:v>
                </c:pt>
                <c:pt idx="6">
                  <c:v>1950</c:v>
                </c:pt>
                <c:pt idx="7">
                  <c:v>2030</c:v>
                </c:pt>
                <c:pt idx="8">
                  <c:v>2100</c:v>
                </c:pt>
                <c:pt idx="9">
                  <c:v>2250</c:v>
                </c:pt>
                <c:pt idx="10">
                  <c:v>2400</c:v>
                </c:pt>
                <c:pt idx="11">
                  <c:v>2700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8702-4919-BF0E-DB45B95F174C}"/>
            </c:ext>
          </c:extLst>
        </c:ser>
        <c:ser>
          <c:idx val="6"/>
          <c:order val="6"/>
          <c:tx>
            <c:strRef>
              <c:f>'P &amp; L'!$C$136</c:f>
              <c:strCache>
                <c:ptCount val="1"/>
                <c:pt idx="0">
                  <c:v>Lucro Liquido</c:v>
                </c:pt>
              </c:strCache>
            </c:strRef>
          </c:tx>
          <c:marker>
            <c:symbol val="none"/>
          </c:marker>
          <c:dLbls>
            <c:dLbl>
              <c:idx val="11"/>
              <c:layout>
                <c:manualLayout>
                  <c:x val="-6.7956159387831871E-3"/>
                  <c:y val="-2.4140002725960938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8702-4919-BF0E-DB45B95F174C}"/>
                </c:ext>
              </c:extLst>
            </c:dLbl>
            <c:numFmt formatCode="0" sourceLinked="0"/>
            <c:spPr>
              <a:noFill/>
              <a:ln>
                <a:noFill/>
              </a:ln>
              <a:effectLst/>
            </c:sp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'P &amp; L'!$D$5:$O$5</c:f>
              <c:strCache>
                <c:ptCount val="12"/>
                <c:pt idx="0">
                  <c:v> jan 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out</c:v>
                </c:pt>
                <c:pt idx="10">
                  <c:v>nov</c:v>
                </c:pt>
                <c:pt idx="11">
                  <c:v>dez</c:v>
                </c:pt>
              </c:strCache>
            </c:strRef>
          </c:cat>
          <c:val>
            <c:numRef>
              <c:f>'P &amp; L'!$D$136:$O$136</c:f>
              <c:numCache>
                <c:formatCode>_("R$"* #,##0.00_);_("R$"* \(#,##0.00\);_("R$"* "-"??_);_(@_)</c:formatCode>
                <c:ptCount val="12"/>
                <c:pt idx="0">
                  <c:v>97705.724999999977</c:v>
                </c:pt>
                <c:pt idx="1">
                  <c:v>107312.70000000001</c:v>
                </c:pt>
                <c:pt idx="2">
                  <c:v>119270.51000000001</c:v>
                </c:pt>
                <c:pt idx="3">
                  <c:v>136701.1508</c:v>
                </c:pt>
                <c:pt idx="4">
                  <c:v>150127.90000000002</c:v>
                </c:pt>
                <c:pt idx="5">
                  <c:v>161953.52500000002</c:v>
                </c:pt>
                <c:pt idx="6">
                  <c:v>174232.88</c:v>
                </c:pt>
                <c:pt idx="7">
                  <c:v>186955.37379999994</c:v>
                </c:pt>
                <c:pt idx="8">
                  <c:v>200112.75</c:v>
                </c:pt>
                <c:pt idx="9">
                  <c:v>218770.81499999994</c:v>
                </c:pt>
                <c:pt idx="10">
                  <c:v>245856.5</c:v>
                </c:pt>
                <c:pt idx="11">
                  <c:v>287457.35279999999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8702-4919-BF0E-DB45B95F174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87582992"/>
        <c:axId val="387580248"/>
      </c:lineChart>
      <c:catAx>
        <c:axId val="387582992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387580248"/>
        <c:crosses val="autoZero"/>
        <c:auto val="1"/>
        <c:lblAlgn val="ctr"/>
        <c:lblOffset val="100"/>
        <c:noMultiLvlLbl val="0"/>
      </c:catAx>
      <c:valAx>
        <c:axId val="387580248"/>
        <c:scaling>
          <c:orientation val="minMax"/>
        </c:scaling>
        <c:delete val="0"/>
        <c:axPos val="l"/>
        <c:majorGridlines/>
        <c:numFmt formatCode="_(&quot;R$&quot;* #,##0.00_);_(&quot;R$&quot;* \(#,##0.00\);_(&quot;R$&quot;* &quot;-&quot;??_);_(@_)" sourceLinked="1"/>
        <c:majorTickMark val="out"/>
        <c:minorTickMark val="none"/>
        <c:tickLblPos val="nextTo"/>
        <c:crossAx val="387582992"/>
        <c:crosses val="autoZero"/>
        <c:crossBetween val="between"/>
      </c:valAx>
    </c:plotArea>
    <c:legend>
      <c:legendPos val="b"/>
      <c:overlay val="0"/>
    </c:legend>
    <c:plotVisOnly val="1"/>
    <c:dispBlanksAs val="gap"/>
    <c:showDLblsOverMax val="0"/>
  </c:chart>
  <c:printSettings>
    <c:headerFooter/>
    <c:pageMargins b="0.75000000000000011" l="0.70000000000000007" r="0.70000000000000007" t="0.75000000000000011" header="0.30000000000000004" footer="0.30000000000000004"/>
    <c:pageSetup/>
  </c:printSettings>
  <c:userShapes r:id="rId1"/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7.908684407149838E-2"/>
          <c:y val="0.13112289966775298"/>
          <c:w val="0.89950196371438962"/>
          <c:h val="0.70009483708796227"/>
        </c:manualLayout>
      </c:layout>
      <c:lineChart>
        <c:grouping val="standard"/>
        <c:varyColors val="0"/>
        <c:ser>
          <c:idx val="0"/>
          <c:order val="0"/>
          <c:tx>
            <c:strRef>
              <c:f>'Indicadores Absolutos'!$B$10</c:f>
              <c:strCache>
                <c:ptCount val="1"/>
                <c:pt idx="0">
                  <c:v>% AP  / Total</c:v>
                </c:pt>
              </c:strCache>
            </c:strRef>
          </c:tx>
          <c:marker>
            <c:symbol val="none"/>
          </c:marker>
          <c:cat>
            <c:strRef>
              <c:f>'Indicadores Absolutos'!$C$5:$N$5</c:f>
              <c:strCache>
                <c:ptCount val="12"/>
                <c:pt idx="0">
                  <c:v> jan 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out</c:v>
                </c:pt>
                <c:pt idx="10">
                  <c:v>nov</c:v>
                </c:pt>
                <c:pt idx="11">
                  <c:v>dez</c:v>
                </c:pt>
              </c:strCache>
            </c:strRef>
          </c:cat>
          <c:val>
            <c:numRef>
              <c:f>'Indicadores Absolutos'!$C$10:$N$10</c:f>
              <c:numCache>
                <c:formatCode>0.0%</c:formatCode>
                <c:ptCount val="12"/>
                <c:pt idx="0">
                  <c:v>0.12727272727272726</c:v>
                </c:pt>
                <c:pt idx="1">
                  <c:v>0.12931034482758622</c:v>
                </c:pt>
                <c:pt idx="2">
                  <c:v>0.12903225806451613</c:v>
                </c:pt>
                <c:pt idx="3">
                  <c:v>0.12878787878787878</c:v>
                </c:pt>
                <c:pt idx="4">
                  <c:v>0.12857142857142856</c:v>
                </c:pt>
                <c:pt idx="5">
                  <c:v>0.13013698630136986</c:v>
                </c:pt>
                <c:pt idx="6">
                  <c:v>0.13157894736842105</c:v>
                </c:pt>
                <c:pt idx="7">
                  <c:v>0.13291139240506328</c:v>
                </c:pt>
                <c:pt idx="8">
                  <c:v>0.13414634146341464</c:v>
                </c:pt>
                <c:pt idx="9">
                  <c:v>0.13793103448275862</c:v>
                </c:pt>
                <c:pt idx="10">
                  <c:v>0.1368421052631579</c:v>
                </c:pt>
                <c:pt idx="11">
                  <c:v>0.1388888888888889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A1A-4D85-847E-8A6BD666A33A}"/>
            </c:ext>
          </c:extLst>
        </c:ser>
        <c:ser>
          <c:idx val="1"/>
          <c:order val="1"/>
          <c:tx>
            <c:strRef>
              <c:f>'Indicadores Absolutos'!$B$13</c:f>
              <c:strCache>
                <c:ptCount val="1"/>
                <c:pt idx="0">
                  <c:v>% CP/ Total</c:v>
                </c:pt>
              </c:strCache>
              <c:extLst xmlns:c15="http://schemas.microsoft.com/office/drawing/2012/chart"/>
            </c:strRef>
          </c:tx>
          <c:marker>
            <c:symbol val="none"/>
          </c:marker>
          <c:cat>
            <c:strRef>
              <c:f>'Indicadores Absolutos'!$C$5:$N$5</c:f>
              <c:strCache>
                <c:ptCount val="12"/>
                <c:pt idx="0">
                  <c:v> jan 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out</c:v>
                </c:pt>
                <c:pt idx="10">
                  <c:v>nov</c:v>
                </c:pt>
                <c:pt idx="11">
                  <c:v>dez</c:v>
                </c:pt>
              </c:strCache>
              <c:extLst xmlns:c15="http://schemas.microsoft.com/office/drawing/2012/chart"/>
            </c:strRef>
          </c:cat>
          <c:val>
            <c:numRef>
              <c:f>'Indicadores Absolutos'!$C$13:$N$13</c:f>
              <c:numCache>
                <c:formatCode>0.0%</c:formatCode>
                <c:ptCount val="12"/>
                <c:pt idx="0">
                  <c:v>0.14545454545454545</c:v>
                </c:pt>
                <c:pt idx="1">
                  <c:v>0.14655172413793102</c:v>
                </c:pt>
                <c:pt idx="2">
                  <c:v>0.14516129032258066</c:v>
                </c:pt>
                <c:pt idx="3">
                  <c:v>0.14393939393939395</c:v>
                </c:pt>
                <c:pt idx="4">
                  <c:v>0.14285714285714285</c:v>
                </c:pt>
                <c:pt idx="5">
                  <c:v>0.14383561643835616</c:v>
                </c:pt>
                <c:pt idx="6">
                  <c:v>0.14473684210526316</c:v>
                </c:pt>
                <c:pt idx="7">
                  <c:v>0.14556962025316456</c:v>
                </c:pt>
                <c:pt idx="8">
                  <c:v>0.14634146341463414</c:v>
                </c:pt>
                <c:pt idx="9">
                  <c:v>0.14942528735632185</c:v>
                </c:pt>
                <c:pt idx="10">
                  <c:v>0.14736842105263157</c:v>
                </c:pt>
                <c:pt idx="11">
                  <c:v>0.14814814814814814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1-DA1A-4D85-847E-8A6BD666A33A}"/>
            </c:ext>
          </c:extLst>
        </c:ser>
        <c:ser>
          <c:idx val="2"/>
          <c:order val="2"/>
          <c:tx>
            <c:strRef>
              <c:f>'Indicadores Absolutos'!$B$16</c:f>
              <c:strCache>
                <c:ptCount val="1"/>
                <c:pt idx="0">
                  <c:v>% JC / Total</c:v>
                </c:pt>
              </c:strCache>
              <c:extLst xmlns:c15="http://schemas.microsoft.com/office/drawing/2012/chart"/>
            </c:strRef>
          </c:tx>
          <c:marker>
            <c:symbol val="none"/>
          </c:marker>
          <c:cat>
            <c:strRef>
              <c:f>'Indicadores Absolutos'!$C$5:$N$5</c:f>
              <c:strCache>
                <c:ptCount val="12"/>
                <c:pt idx="0">
                  <c:v> jan 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out</c:v>
                </c:pt>
                <c:pt idx="10">
                  <c:v>nov</c:v>
                </c:pt>
                <c:pt idx="11">
                  <c:v>dez</c:v>
                </c:pt>
              </c:strCache>
              <c:extLst xmlns:c15="http://schemas.microsoft.com/office/drawing/2012/chart"/>
            </c:strRef>
          </c:cat>
          <c:val>
            <c:numRef>
              <c:f>'Indicadores Absolutos'!$C$16:$N$16</c:f>
              <c:numCache>
                <c:formatCode>0.0%</c:formatCode>
                <c:ptCount val="12"/>
                <c:pt idx="0">
                  <c:v>0.21818181818181817</c:v>
                </c:pt>
                <c:pt idx="1">
                  <c:v>0.21551724137931033</c:v>
                </c:pt>
                <c:pt idx="2">
                  <c:v>0.20967741935483872</c:v>
                </c:pt>
                <c:pt idx="3">
                  <c:v>0.21212121212121213</c:v>
                </c:pt>
                <c:pt idx="4">
                  <c:v>0.21428571428571427</c:v>
                </c:pt>
                <c:pt idx="5">
                  <c:v>0.21232876712328766</c:v>
                </c:pt>
                <c:pt idx="6">
                  <c:v>0.21052631578947367</c:v>
                </c:pt>
                <c:pt idx="7">
                  <c:v>0.20886075949367089</c:v>
                </c:pt>
                <c:pt idx="8">
                  <c:v>0.2073170731707317</c:v>
                </c:pt>
                <c:pt idx="9">
                  <c:v>0.20689655172413793</c:v>
                </c:pt>
                <c:pt idx="10">
                  <c:v>0.21052631578947367</c:v>
                </c:pt>
                <c:pt idx="11">
                  <c:v>0.20370370370370369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2-DA1A-4D85-847E-8A6BD666A33A}"/>
            </c:ext>
          </c:extLst>
        </c:ser>
        <c:ser>
          <c:idx val="3"/>
          <c:order val="3"/>
          <c:tx>
            <c:strRef>
              <c:f>'Indicadores Absolutos'!$B$19</c:f>
              <c:strCache>
                <c:ptCount val="1"/>
                <c:pt idx="0">
                  <c:v>% SJC / Total</c:v>
                </c:pt>
              </c:strCache>
              <c:extLst xmlns:c15="http://schemas.microsoft.com/office/drawing/2012/chart"/>
            </c:strRef>
          </c:tx>
          <c:marker>
            <c:symbol val="none"/>
          </c:marker>
          <c:cat>
            <c:strRef>
              <c:f>'Indicadores Absolutos'!$C$5:$N$5</c:f>
              <c:strCache>
                <c:ptCount val="12"/>
                <c:pt idx="0">
                  <c:v> jan 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out</c:v>
                </c:pt>
                <c:pt idx="10">
                  <c:v>nov</c:v>
                </c:pt>
                <c:pt idx="11">
                  <c:v>dez</c:v>
                </c:pt>
              </c:strCache>
              <c:extLst xmlns:c15="http://schemas.microsoft.com/office/drawing/2012/chart"/>
            </c:strRef>
          </c:cat>
          <c:val>
            <c:numRef>
              <c:f>'Indicadores Absolutos'!$C$19:$N$19</c:f>
              <c:numCache>
                <c:formatCode>0.0%</c:formatCode>
                <c:ptCount val="12"/>
                <c:pt idx="0">
                  <c:v>0.32727272727272727</c:v>
                </c:pt>
                <c:pt idx="1">
                  <c:v>0.32758620689655171</c:v>
                </c:pt>
                <c:pt idx="2">
                  <c:v>0.33870967741935482</c:v>
                </c:pt>
                <c:pt idx="3">
                  <c:v>0.33333333333333331</c:v>
                </c:pt>
                <c:pt idx="4">
                  <c:v>0.32857142857142857</c:v>
                </c:pt>
                <c:pt idx="5">
                  <c:v>0.32876712328767121</c:v>
                </c:pt>
                <c:pt idx="6">
                  <c:v>0.32894736842105265</c:v>
                </c:pt>
                <c:pt idx="7">
                  <c:v>0.32911392405063289</c:v>
                </c:pt>
                <c:pt idx="8">
                  <c:v>0.32926829268292684</c:v>
                </c:pt>
                <c:pt idx="9">
                  <c:v>0.32183908045977011</c:v>
                </c:pt>
                <c:pt idx="10">
                  <c:v>0.31578947368421051</c:v>
                </c:pt>
                <c:pt idx="11">
                  <c:v>0.32407407407407407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3-DA1A-4D85-847E-8A6BD666A33A}"/>
            </c:ext>
          </c:extLst>
        </c:ser>
        <c:ser>
          <c:idx val="4"/>
          <c:order val="4"/>
          <c:tx>
            <c:strRef>
              <c:f>'Indicadores Absolutos'!$B$22</c:f>
              <c:strCache>
                <c:ptCount val="1"/>
                <c:pt idx="0">
                  <c:v>% TE/ Total</c:v>
                </c:pt>
              </c:strCache>
              <c:extLst xmlns:c15="http://schemas.microsoft.com/office/drawing/2012/chart"/>
            </c:strRef>
          </c:tx>
          <c:marker>
            <c:symbol val="none"/>
          </c:marker>
          <c:cat>
            <c:strRef>
              <c:f>'Indicadores Absolutos'!$C$5:$N$5</c:f>
              <c:strCache>
                <c:ptCount val="12"/>
                <c:pt idx="0">
                  <c:v> jan 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out</c:v>
                </c:pt>
                <c:pt idx="10">
                  <c:v>nov</c:v>
                </c:pt>
                <c:pt idx="11">
                  <c:v>dez</c:v>
                </c:pt>
              </c:strCache>
              <c:extLst xmlns:c15="http://schemas.microsoft.com/office/drawing/2012/chart"/>
            </c:strRef>
          </c:cat>
          <c:val>
            <c:numRef>
              <c:f>'Indicadores Absolutos'!$C$22:$N$22</c:f>
              <c:numCache>
                <c:formatCode>0.0%</c:formatCode>
                <c:ptCount val="12"/>
                <c:pt idx="0">
                  <c:v>0.18181818181818182</c:v>
                </c:pt>
                <c:pt idx="1">
                  <c:v>0.18103448275862069</c:v>
                </c:pt>
                <c:pt idx="2">
                  <c:v>0.17741935483870969</c:v>
                </c:pt>
                <c:pt idx="3">
                  <c:v>0.18181818181818182</c:v>
                </c:pt>
                <c:pt idx="4">
                  <c:v>0.18571428571428572</c:v>
                </c:pt>
                <c:pt idx="5">
                  <c:v>0.18493150684931506</c:v>
                </c:pt>
                <c:pt idx="6">
                  <c:v>0.18421052631578946</c:v>
                </c:pt>
                <c:pt idx="7">
                  <c:v>0.18354430379746836</c:v>
                </c:pt>
                <c:pt idx="8">
                  <c:v>0.18292682926829268</c:v>
                </c:pt>
                <c:pt idx="9">
                  <c:v>0.18390804597701149</c:v>
                </c:pt>
                <c:pt idx="10">
                  <c:v>0.18947368421052632</c:v>
                </c:pt>
                <c:pt idx="11">
                  <c:v>0.18518518518518517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4-DA1A-4D85-847E-8A6BD666A33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88205240"/>
        <c:axId val="388209944"/>
        <c:extLst>
          <c:ext xmlns:c15="http://schemas.microsoft.com/office/drawing/2012/chart" uri="{02D57815-91ED-43cb-92C2-25804820EDAC}">
            <c15:filteredLineSeries>
              <c15:ser>
                <c:idx val="5"/>
                <c:order val="5"/>
                <c:tx>
                  <c:strRef>
                    <c:extLst>
                      <c:ext uri="{02D57815-91ED-43cb-92C2-25804820EDAC}">
                        <c15:formulaRef>
                          <c15:sqref>'Indicadores Absolutos'!#REF!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:tx>
                <c:marker>
                  <c:symbol val="none"/>
                </c:marker>
                <c:cat>
                  <c:strRef>
                    <c:extLst>
                      <c:ext uri="{02D57815-91ED-43cb-92C2-25804820EDAC}">
                        <c15:formulaRef>
                          <c15:sqref>'Indicadores Absolutos'!$C$5:$N$5</c15:sqref>
                        </c15:formulaRef>
                      </c:ext>
                    </c:extLst>
                    <c:strCache>
                      <c:ptCount val="12"/>
                      <c:pt idx="0">
                        <c:v> jan </c:v>
                      </c:pt>
                      <c:pt idx="1">
                        <c:v>fev</c:v>
                      </c:pt>
                      <c:pt idx="2">
                        <c:v>mar</c:v>
                      </c:pt>
                      <c:pt idx="3">
                        <c:v>abr</c:v>
                      </c:pt>
                      <c:pt idx="4">
                        <c:v>mai</c:v>
                      </c:pt>
                      <c:pt idx="5">
                        <c:v>jun</c:v>
                      </c:pt>
                      <c:pt idx="6">
                        <c:v>jul</c:v>
                      </c:pt>
                      <c:pt idx="7">
                        <c:v>ago</c:v>
                      </c:pt>
                      <c:pt idx="8">
                        <c:v>set</c:v>
                      </c:pt>
                      <c:pt idx="9">
                        <c:v>out</c:v>
                      </c:pt>
                      <c:pt idx="10">
                        <c:v>nov</c:v>
                      </c:pt>
                      <c:pt idx="11">
                        <c:v>dez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'Indicadores Absolutos'!#REF!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1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5-DA1A-4D85-847E-8A6BD666A33A}"/>
                  </c:ext>
                </c:extLst>
              </c15:ser>
            </c15:filteredLineSeries>
            <c15:filteredLineSeries>
              <c15:ser>
                <c:idx val="6"/>
                <c:order val="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'Indicadores Absolutos'!#REF!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:tx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'Indicadores Absolutos'!$C$5:$N$5</c15:sqref>
                        </c15:formulaRef>
                      </c:ext>
                    </c:extLst>
                    <c:strCache>
                      <c:ptCount val="12"/>
                      <c:pt idx="0">
                        <c:v> jan </c:v>
                      </c:pt>
                      <c:pt idx="1">
                        <c:v>fev</c:v>
                      </c:pt>
                      <c:pt idx="2">
                        <c:v>mar</c:v>
                      </c:pt>
                      <c:pt idx="3">
                        <c:v>abr</c:v>
                      </c:pt>
                      <c:pt idx="4">
                        <c:v>mai</c:v>
                      </c:pt>
                      <c:pt idx="5">
                        <c:v>jun</c:v>
                      </c:pt>
                      <c:pt idx="6">
                        <c:v>jul</c:v>
                      </c:pt>
                      <c:pt idx="7">
                        <c:v>ago</c:v>
                      </c:pt>
                      <c:pt idx="8">
                        <c:v>set</c:v>
                      </c:pt>
                      <c:pt idx="9">
                        <c:v>out</c:v>
                      </c:pt>
                      <c:pt idx="10">
                        <c:v>nov</c:v>
                      </c:pt>
                      <c:pt idx="11">
                        <c:v>dez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'Indicadores Absolutos'!#REF!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1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DA1A-4D85-847E-8A6BD666A33A}"/>
                  </c:ext>
                </c:extLst>
              </c15:ser>
            </c15:filteredLineSeries>
            <c15:filteredLineSeries>
              <c15:ser>
                <c:idx val="7"/>
                <c:order val="7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'Indicadores Absolutos'!#REF!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:tx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'Indicadores Absolutos'!$C$5:$N$5</c15:sqref>
                        </c15:formulaRef>
                      </c:ext>
                    </c:extLst>
                    <c:strCache>
                      <c:ptCount val="12"/>
                      <c:pt idx="0">
                        <c:v> jan </c:v>
                      </c:pt>
                      <c:pt idx="1">
                        <c:v>fev</c:v>
                      </c:pt>
                      <c:pt idx="2">
                        <c:v>mar</c:v>
                      </c:pt>
                      <c:pt idx="3">
                        <c:v>abr</c:v>
                      </c:pt>
                      <c:pt idx="4">
                        <c:v>mai</c:v>
                      </c:pt>
                      <c:pt idx="5">
                        <c:v>jun</c:v>
                      </c:pt>
                      <c:pt idx="6">
                        <c:v>jul</c:v>
                      </c:pt>
                      <c:pt idx="7">
                        <c:v>ago</c:v>
                      </c:pt>
                      <c:pt idx="8">
                        <c:v>set</c:v>
                      </c:pt>
                      <c:pt idx="9">
                        <c:v>out</c:v>
                      </c:pt>
                      <c:pt idx="10">
                        <c:v>nov</c:v>
                      </c:pt>
                      <c:pt idx="11">
                        <c:v>dez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'Indicadores Absolutos'!#REF!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1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DA1A-4D85-847E-8A6BD666A33A}"/>
                  </c:ext>
                </c:extLst>
              </c15:ser>
            </c15:filteredLineSeries>
            <c15:filteredLineSeries>
              <c15:ser>
                <c:idx val="8"/>
                <c:order val="8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'Indicadores Absolutos'!#REF!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:tx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'Indicadores Absolutos'!$C$5:$N$5</c15:sqref>
                        </c15:formulaRef>
                      </c:ext>
                    </c:extLst>
                    <c:strCache>
                      <c:ptCount val="12"/>
                      <c:pt idx="0">
                        <c:v> jan </c:v>
                      </c:pt>
                      <c:pt idx="1">
                        <c:v>fev</c:v>
                      </c:pt>
                      <c:pt idx="2">
                        <c:v>mar</c:v>
                      </c:pt>
                      <c:pt idx="3">
                        <c:v>abr</c:v>
                      </c:pt>
                      <c:pt idx="4">
                        <c:v>mai</c:v>
                      </c:pt>
                      <c:pt idx="5">
                        <c:v>jun</c:v>
                      </c:pt>
                      <c:pt idx="6">
                        <c:v>jul</c:v>
                      </c:pt>
                      <c:pt idx="7">
                        <c:v>ago</c:v>
                      </c:pt>
                      <c:pt idx="8">
                        <c:v>set</c:v>
                      </c:pt>
                      <c:pt idx="9">
                        <c:v>out</c:v>
                      </c:pt>
                      <c:pt idx="10">
                        <c:v>nov</c:v>
                      </c:pt>
                      <c:pt idx="11">
                        <c:v>dez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'Indicadores Absolutos'!#REF!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1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8-DA1A-4D85-847E-8A6BD666A33A}"/>
                  </c:ext>
                </c:extLst>
              </c15:ser>
            </c15:filteredLineSeries>
            <c15:filteredLineSeries>
              <c15:ser>
                <c:idx val="9"/>
                <c:order val="9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'Indicadores Absolutos'!#REF!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:tx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'Indicadores Absolutos'!$C$5:$N$5</c15:sqref>
                        </c15:formulaRef>
                      </c:ext>
                    </c:extLst>
                    <c:strCache>
                      <c:ptCount val="12"/>
                      <c:pt idx="0">
                        <c:v> jan </c:v>
                      </c:pt>
                      <c:pt idx="1">
                        <c:v>fev</c:v>
                      </c:pt>
                      <c:pt idx="2">
                        <c:v>mar</c:v>
                      </c:pt>
                      <c:pt idx="3">
                        <c:v>abr</c:v>
                      </c:pt>
                      <c:pt idx="4">
                        <c:v>mai</c:v>
                      </c:pt>
                      <c:pt idx="5">
                        <c:v>jun</c:v>
                      </c:pt>
                      <c:pt idx="6">
                        <c:v>jul</c:v>
                      </c:pt>
                      <c:pt idx="7">
                        <c:v>ago</c:v>
                      </c:pt>
                      <c:pt idx="8">
                        <c:v>set</c:v>
                      </c:pt>
                      <c:pt idx="9">
                        <c:v>out</c:v>
                      </c:pt>
                      <c:pt idx="10">
                        <c:v>nov</c:v>
                      </c:pt>
                      <c:pt idx="11">
                        <c:v>dez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'Indicadores Absolutos'!#REF!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1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9-DA1A-4D85-847E-8A6BD666A33A}"/>
                  </c:ext>
                </c:extLst>
              </c15:ser>
            </c15:filteredLineSeries>
          </c:ext>
        </c:extLst>
      </c:lineChart>
      <c:catAx>
        <c:axId val="388205240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388209944"/>
        <c:crosses val="autoZero"/>
        <c:auto val="1"/>
        <c:lblAlgn val="ctr"/>
        <c:lblOffset val="100"/>
        <c:noMultiLvlLbl val="0"/>
      </c:catAx>
      <c:valAx>
        <c:axId val="388209944"/>
        <c:scaling>
          <c:orientation val="minMax"/>
        </c:scaling>
        <c:delete val="0"/>
        <c:axPos val="l"/>
        <c:majorGridlines/>
        <c:numFmt formatCode="0.0%" sourceLinked="1"/>
        <c:majorTickMark val="out"/>
        <c:minorTickMark val="none"/>
        <c:tickLblPos val="nextTo"/>
        <c:crossAx val="388205240"/>
        <c:crosses val="autoZero"/>
        <c:crossBetween val="between"/>
      </c:valAx>
    </c:plotArea>
    <c:legend>
      <c:legendPos val="b"/>
      <c:overlay val="0"/>
    </c:legend>
    <c:plotVisOnly val="1"/>
    <c:dispBlanksAs val="gap"/>
    <c:showDLblsOverMax val="0"/>
  </c:chart>
  <c:printSettings>
    <c:headerFooter/>
    <c:pageMargins b="0.75000000000000011" l="0.70000000000000007" r="0.70000000000000007" t="0.75000000000000011" header="0.30000000000000004" footer="0.30000000000000004"/>
    <c:pageSetup/>
  </c:printSettings>
  <c:userShapes r:id="rId1"/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7.7392125984251978E-2"/>
          <c:y val="0.15806050556036894"/>
          <c:w val="0.90165549306336723"/>
          <c:h val="0.71272304012113041"/>
        </c:manualLayout>
      </c:layout>
      <c:lineChart>
        <c:grouping val="standard"/>
        <c:varyColors val="0"/>
        <c:ser>
          <c:idx val="0"/>
          <c:order val="0"/>
          <c:tx>
            <c:strRef>
              <c:f>'Indicadores Absolutos'!$B$46</c:f>
              <c:strCache>
                <c:ptCount val="1"/>
                <c:pt idx="0">
                  <c:v>Materiais / CMV</c:v>
                </c:pt>
              </c:strCache>
            </c:strRef>
          </c:tx>
          <c:marker>
            <c:symbol val="none"/>
          </c:marker>
          <c:cat>
            <c:strRef>
              <c:f>'Indicadores Absolutos'!$C$5:$N$5</c:f>
              <c:strCache>
                <c:ptCount val="12"/>
                <c:pt idx="0">
                  <c:v> jan 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out</c:v>
                </c:pt>
                <c:pt idx="10">
                  <c:v>nov</c:v>
                </c:pt>
                <c:pt idx="11">
                  <c:v>dez</c:v>
                </c:pt>
              </c:strCache>
            </c:strRef>
          </c:cat>
          <c:val>
            <c:numRef>
              <c:f>'Indicadores Absolutos'!$C$46:$N$46</c:f>
              <c:numCache>
                <c:formatCode>0.0%</c:formatCode>
                <c:ptCount val="12"/>
                <c:pt idx="0">
                  <c:v>0.62876073287810152</c:v>
                </c:pt>
                <c:pt idx="1">
                  <c:v>0.62876073287810152</c:v>
                </c:pt>
                <c:pt idx="2">
                  <c:v>0.62876073287810152</c:v>
                </c:pt>
                <c:pt idx="3">
                  <c:v>0.62876691308125732</c:v>
                </c:pt>
                <c:pt idx="4">
                  <c:v>0.62876073287810164</c:v>
                </c:pt>
                <c:pt idx="5">
                  <c:v>0.62876073287810164</c:v>
                </c:pt>
                <c:pt idx="6">
                  <c:v>0.62876073287810152</c:v>
                </c:pt>
                <c:pt idx="7">
                  <c:v>0.62876070102764381</c:v>
                </c:pt>
                <c:pt idx="8">
                  <c:v>0.62876076249926027</c:v>
                </c:pt>
                <c:pt idx="9">
                  <c:v>0.62876073287810141</c:v>
                </c:pt>
                <c:pt idx="10">
                  <c:v>0.62876073287810152</c:v>
                </c:pt>
                <c:pt idx="11">
                  <c:v>0.62875888199110341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6C4-4957-9AFF-7A3E68D1ADF2}"/>
            </c:ext>
          </c:extLst>
        </c:ser>
        <c:ser>
          <c:idx val="1"/>
          <c:order val="1"/>
          <c:tx>
            <c:strRef>
              <c:f>'Indicadores Absolutos'!$B$48</c:f>
              <c:strCache>
                <c:ptCount val="1"/>
                <c:pt idx="0">
                  <c:v>MOD / CMV</c:v>
                </c:pt>
              </c:strCache>
            </c:strRef>
          </c:tx>
          <c:marker>
            <c:symbol val="none"/>
          </c:marker>
          <c:cat>
            <c:strRef>
              <c:f>'Indicadores Absolutos'!$C$5:$N$5</c:f>
              <c:strCache>
                <c:ptCount val="12"/>
                <c:pt idx="0">
                  <c:v> jan 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out</c:v>
                </c:pt>
                <c:pt idx="10">
                  <c:v>nov</c:v>
                </c:pt>
                <c:pt idx="11">
                  <c:v>dez</c:v>
                </c:pt>
              </c:strCache>
            </c:strRef>
          </c:cat>
          <c:val>
            <c:numRef>
              <c:f>'Indicadores Absolutos'!$C$48:$N$48</c:f>
              <c:numCache>
                <c:formatCode>0.0%</c:formatCode>
                <c:ptCount val="12"/>
                <c:pt idx="0">
                  <c:v>0.1953890879588939</c:v>
                </c:pt>
                <c:pt idx="1">
                  <c:v>0.1953890879588939</c:v>
                </c:pt>
                <c:pt idx="2">
                  <c:v>0.1953890879588939</c:v>
                </c:pt>
                <c:pt idx="3">
                  <c:v>0.19538918403165761</c:v>
                </c:pt>
                <c:pt idx="4">
                  <c:v>0.19538908795889393</c:v>
                </c:pt>
                <c:pt idx="5">
                  <c:v>0.19538908795889393</c:v>
                </c:pt>
                <c:pt idx="6">
                  <c:v>0.1953890879588939</c:v>
                </c:pt>
                <c:pt idx="7">
                  <c:v>0.19538877412571826</c:v>
                </c:pt>
                <c:pt idx="8">
                  <c:v>0.1953890723688104</c:v>
                </c:pt>
                <c:pt idx="9">
                  <c:v>0.19538908795889387</c:v>
                </c:pt>
                <c:pt idx="10">
                  <c:v>0.19538908795889393</c:v>
                </c:pt>
                <c:pt idx="11">
                  <c:v>0.19538851279078376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6C4-4957-9AFF-7A3E68D1ADF2}"/>
            </c:ext>
          </c:extLst>
        </c:ser>
        <c:ser>
          <c:idx val="2"/>
          <c:order val="2"/>
          <c:tx>
            <c:strRef>
              <c:f>'Indicadores Absolutos'!$B$50</c:f>
              <c:strCache>
                <c:ptCount val="1"/>
                <c:pt idx="0">
                  <c:v>CI / CMV</c:v>
                </c:pt>
              </c:strCache>
            </c:strRef>
          </c:tx>
          <c:marker>
            <c:symbol val="none"/>
          </c:marker>
          <c:cat>
            <c:strRef>
              <c:f>'Indicadores Absolutos'!$C$5:$N$5</c:f>
              <c:strCache>
                <c:ptCount val="12"/>
                <c:pt idx="0">
                  <c:v> jan 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out</c:v>
                </c:pt>
                <c:pt idx="10">
                  <c:v>nov</c:v>
                </c:pt>
                <c:pt idx="11">
                  <c:v>dez</c:v>
                </c:pt>
              </c:strCache>
            </c:strRef>
          </c:cat>
          <c:val>
            <c:numRef>
              <c:f>'Indicadores Absolutos'!$C$50:$N$50</c:f>
              <c:numCache>
                <c:formatCode>0.0%</c:formatCode>
                <c:ptCount val="12"/>
                <c:pt idx="0">
                  <c:v>0.17585017916300449</c:v>
                </c:pt>
                <c:pt idx="1">
                  <c:v>0.17585017916300452</c:v>
                </c:pt>
                <c:pt idx="2">
                  <c:v>0.17585017916300449</c:v>
                </c:pt>
                <c:pt idx="3">
                  <c:v>0.17584390288708512</c:v>
                </c:pt>
                <c:pt idx="4">
                  <c:v>0.17585017916300455</c:v>
                </c:pt>
                <c:pt idx="5">
                  <c:v>0.17585017916300455</c:v>
                </c:pt>
                <c:pt idx="6">
                  <c:v>0.17585017916300452</c:v>
                </c:pt>
                <c:pt idx="7">
                  <c:v>0.17585052484663774</c:v>
                </c:pt>
                <c:pt idx="8">
                  <c:v>0.17585016513192933</c:v>
                </c:pt>
                <c:pt idx="9">
                  <c:v>0.17585017916300447</c:v>
                </c:pt>
                <c:pt idx="10">
                  <c:v>0.17585017916300452</c:v>
                </c:pt>
                <c:pt idx="11">
                  <c:v>0.1758526052181128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6C4-4957-9AFF-7A3E68D1ADF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88208376"/>
        <c:axId val="388208768"/>
      </c:lineChart>
      <c:catAx>
        <c:axId val="388208376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388208768"/>
        <c:crosses val="autoZero"/>
        <c:auto val="1"/>
        <c:lblAlgn val="ctr"/>
        <c:lblOffset val="100"/>
        <c:noMultiLvlLbl val="0"/>
      </c:catAx>
      <c:valAx>
        <c:axId val="388208768"/>
        <c:scaling>
          <c:orientation val="minMax"/>
        </c:scaling>
        <c:delete val="0"/>
        <c:axPos val="l"/>
        <c:majorGridlines/>
        <c:numFmt formatCode="0.0%" sourceLinked="1"/>
        <c:majorTickMark val="out"/>
        <c:minorTickMark val="none"/>
        <c:tickLblPos val="nextTo"/>
        <c:crossAx val="388208376"/>
        <c:crosses val="autoZero"/>
        <c:crossBetween val="between"/>
      </c:valAx>
    </c:plotArea>
    <c:legend>
      <c:legendPos val="b"/>
      <c:overlay val="0"/>
    </c:legend>
    <c:plotVisOnly val="1"/>
    <c:dispBlanksAs val="gap"/>
    <c:showDLblsOverMax val="0"/>
  </c:chart>
  <c:printSettings>
    <c:headerFooter/>
    <c:pageMargins b="0.75000000000000011" l="0.70000000000000007" r="0.70000000000000007" t="0.75000000000000011" header="0.30000000000000004" footer="0.30000000000000004"/>
    <c:pageSetup/>
  </c:printSettings>
  <c:userShapes r:id="rId1"/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6.8258364256192111E-2"/>
          <c:y val="0.17420067172454504"/>
          <c:w val="0.90109029474763924"/>
          <c:h val="0.64348651873061313"/>
        </c:manualLayout>
      </c:layout>
      <c:lineChart>
        <c:grouping val="standard"/>
        <c:varyColors val="0"/>
        <c:ser>
          <c:idx val="0"/>
          <c:order val="0"/>
          <c:tx>
            <c:strRef>
              <c:f>'Indicadores Absolutos'!$B$31</c:f>
              <c:strCache>
                <c:ptCount val="1"/>
                <c:pt idx="0">
                  <c:v>% vendas diretas / total</c:v>
                </c:pt>
              </c:strCache>
            </c:strRef>
          </c:tx>
          <c:marker>
            <c:symbol val="none"/>
          </c:marker>
          <c:cat>
            <c:strRef>
              <c:f>'Indicadores Absolutos'!$C$5:$N$5</c:f>
              <c:strCache>
                <c:ptCount val="12"/>
                <c:pt idx="0">
                  <c:v> jan 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out</c:v>
                </c:pt>
                <c:pt idx="10">
                  <c:v>nov</c:v>
                </c:pt>
                <c:pt idx="11">
                  <c:v>dez</c:v>
                </c:pt>
              </c:strCache>
            </c:strRef>
          </c:cat>
          <c:val>
            <c:numRef>
              <c:f>'Indicadores Absolutos'!$C$31:$N$31</c:f>
              <c:numCache>
                <c:formatCode>0.0%</c:formatCode>
                <c:ptCount val="12"/>
                <c:pt idx="0">
                  <c:v>0.5</c:v>
                </c:pt>
                <c:pt idx="1">
                  <c:v>0.5</c:v>
                </c:pt>
                <c:pt idx="2">
                  <c:v>0.5</c:v>
                </c:pt>
                <c:pt idx="3">
                  <c:v>0.5</c:v>
                </c:pt>
                <c:pt idx="4">
                  <c:v>0.5</c:v>
                </c:pt>
                <c:pt idx="5">
                  <c:v>0.5</c:v>
                </c:pt>
                <c:pt idx="6">
                  <c:v>0.5</c:v>
                </c:pt>
                <c:pt idx="7">
                  <c:v>0.5</c:v>
                </c:pt>
                <c:pt idx="8">
                  <c:v>0.5</c:v>
                </c:pt>
                <c:pt idx="9">
                  <c:v>0.5</c:v>
                </c:pt>
                <c:pt idx="10">
                  <c:v>0.5</c:v>
                </c:pt>
                <c:pt idx="11">
                  <c:v>0.5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F60-4128-9A9D-1943AAE3C85C}"/>
            </c:ext>
          </c:extLst>
        </c:ser>
        <c:ser>
          <c:idx val="1"/>
          <c:order val="1"/>
          <c:tx>
            <c:strRef>
              <c:f>'Indicadores Absolutos'!$B$33</c:f>
              <c:strCache>
                <c:ptCount val="1"/>
                <c:pt idx="0">
                  <c:v>% Vendas e-comerce / total</c:v>
                </c:pt>
              </c:strCache>
            </c:strRef>
          </c:tx>
          <c:marker>
            <c:symbol val="none"/>
          </c:marker>
          <c:cat>
            <c:strRef>
              <c:f>'Indicadores Absolutos'!$C$5:$N$5</c:f>
              <c:strCache>
                <c:ptCount val="12"/>
                <c:pt idx="0">
                  <c:v> jan 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out</c:v>
                </c:pt>
                <c:pt idx="10">
                  <c:v>nov</c:v>
                </c:pt>
                <c:pt idx="11">
                  <c:v>dez</c:v>
                </c:pt>
              </c:strCache>
            </c:strRef>
          </c:cat>
          <c:val>
            <c:numRef>
              <c:f>'Indicadores Absolutos'!$C$33:$N$33</c:f>
              <c:numCache>
                <c:formatCode>0.0%</c:formatCode>
                <c:ptCount val="12"/>
                <c:pt idx="0">
                  <c:v>0.3</c:v>
                </c:pt>
                <c:pt idx="1">
                  <c:v>0.3</c:v>
                </c:pt>
                <c:pt idx="2">
                  <c:v>0.3</c:v>
                </c:pt>
                <c:pt idx="3">
                  <c:v>0.3</c:v>
                </c:pt>
                <c:pt idx="4">
                  <c:v>0.3</c:v>
                </c:pt>
                <c:pt idx="5">
                  <c:v>0.3</c:v>
                </c:pt>
                <c:pt idx="6">
                  <c:v>0.3</c:v>
                </c:pt>
                <c:pt idx="7">
                  <c:v>0.3</c:v>
                </c:pt>
                <c:pt idx="8">
                  <c:v>0.3</c:v>
                </c:pt>
                <c:pt idx="9">
                  <c:v>0.3</c:v>
                </c:pt>
                <c:pt idx="10">
                  <c:v>0.3</c:v>
                </c:pt>
                <c:pt idx="11">
                  <c:v>0.3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F60-4128-9A9D-1943AAE3C85C}"/>
            </c:ext>
          </c:extLst>
        </c:ser>
        <c:ser>
          <c:idx val="2"/>
          <c:order val="2"/>
          <c:tx>
            <c:strRef>
              <c:f>'Indicadores Absolutos'!$B$35</c:f>
              <c:strCache>
                <c:ptCount val="1"/>
                <c:pt idx="0">
                  <c:v>% representantes / Total</c:v>
                </c:pt>
              </c:strCache>
            </c:strRef>
          </c:tx>
          <c:marker>
            <c:symbol val="none"/>
          </c:marker>
          <c:cat>
            <c:strRef>
              <c:f>'Indicadores Absolutos'!$C$5:$N$5</c:f>
              <c:strCache>
                <c:ptCount val="12"/>
                <c:pt idx="0">
                  <c:v> jan 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out</c:v>
                </c:pt>
                <c:pt idx="10">
                  <c:v>nov</c:v>
                </c:pt>
                <c:pt idx="11">
                  <c:v>dez</c:v>
                </c:pt>
              </c:strCache>
            </c:strRef>
          </c:cat>
          <c:val>
            <c:numRef>
              <c:f>'Indicadores Absolutos'!$C$35:$N$35</c:f>
              <c:numCache>
                <c:formatCode>0.0%</c:formatCode>
                <c:ptCount val="12"/>
                <c:pt idx="0">
                  <c:v>0.2</c:v>
                </c:pt>
                <c:pt idx="1">
                  <c:v>0.2</c:v>
                </c:pt>
                <c:pt idx="2">
                  <c:v>0.2</c:v>
                </c:pt>
                <c:pt idx="3">
                  <c:v>0.2</c:v>
                </c:pt>
                <c:pt idx="4">
                  <c:v>0.2</c:v>
                </c:pt>
                <c:pt idx="5">
                  <c:v>0.2</c:v>
                </c:pt>
                <c:pt idx="6">
                  <c:v>0.2</c:v>
                </c:pt>
                <c:pt idx="7">
                  <c:v>0.2</c:v>
                </c:pt>
                <c:pt idx="8">
                  <c:v>0.2</c:v>
                </c:pt>
                <c:pt idx="9">
                  <c:v>0.2</c:v>
                </c:pt>
                <c:pt idx="10">
                  <c:v>0.2</c:v>
                </c:pt>
                <c:pt idx="11">
                  <c:v>0.2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F60-4128-9A9D-1943AAE3C85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88207200"/>
        <c:axId val="388205632"/>
      </c:lineChart>
      <c:catAx>
        <c:axId val="388207200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388205632"/>
        <c:crosses val="autoZero"/>
        <c:auto val="1"/>
        <c:lblAlgn val="ctr"/>
        <c:lblOffset val="100"/>
        <c:noMultiLvlLbl val="0"/>
      </c:catAx>
      <c:valAx>
        <c:axId val="388205632"/>
        <c:scaling>
          <c:orientation val="minMax"/>
        </c:scaling>
        <c:delete val="0"/>
        <c:axPos val="l"/>
        <c:majorGridlines/>
        <c:numFmt formatCode="0.0%" sourceLinked="1"/>
        <c:majorTickMark val="out"/>
        <c:minorTickMark val="none"/>
        <c:tickLblPos val="nextTo"/>
        <c:crossAx val="388207200"/>
        <c:crosses val="autoZero"/>
        <c:crossBetween val="between"/>
      </c:valAx>
    </c:plotArea>
    <c:legend>
      <c:legendPos val="b"/>
      <c:overlay val="0"/>
    </c:legend>
    <c:plotVisOnly val="1"/>
    <c:dispBlanksAs val="gap"/>
    <c:showDLblsOverMax val="0"/>
  </c:chart>
  <c:printSettings>
    <c:headerFooter/>
    <c:pageMargins b="0.75000000000000011" l="0.70000000000000007" r="0.70000000000000007" t="0.75000000000000011" header="0.30000000000000004" footer="0.30000000000000004"/>
    <c:pageSetup/>
  </c:printSettings>
  <c:userShapes r:id="rId1"/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1383022122234721"/>
          <c:y val="0.24270038972401181"/>
          <c:w val="0.88616977877765257"/>
          <c:h val="0.70292807338476648"/>
        </c:manualLayout>
      </c:layout>
      <c:lineChart>
        <c:grouping val="standard"/>
        <c:varyColors val="0"/>
        <c:ser>
          <c:idx val="0"/>
          <c:order val="0"/>
          <c:tx>
            <c:strRef>
              <c:f>'Indicadores Absolutos'!$B$74</c:f>
              <c:strCache>
                <c:ptCount val="1"/>
                <c:pt idx="0">
                  <c:v>LB fam1 / LB</c:v>
                </c:pt>
              </c:strCache>
            </c:strRef>
          </c:tx>
          <c:marker>
            <c:symbol val="none"/>
          </c:marker>
          <c:cat>
            <c:strRef>
              <c:f>'Indicadores Absolutos'!$C$5:$N$5</c:f>
              <c:strCache>
                <c:ptCount val="12"/>
                <c:pt idx="0">
                  <c:v> jan 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out</c:v>
                </c:pt>
                <c:pt idx="10">
                  <c:v>nov</c:v>
                </c:pt>
                <c:pt idx="11">
                  <c:v>dez</c:v>
                </c:pt>
              </c:strCache>
            </c:strRef>
          </c:cat>
          <c:val>
            <c:numRef>
              <c:f>'Indicadores Absolutos'!$C$74:$N$74</c:f>
              <c:numCache>
                <c:formatCode>0.0%</c:formatCode>
                <c:ptCount val="12"/>
                <c:pt idx="0">
                  <c:v>0.30000000000000004</c:v>
                </c:pt>
                <c:pt idx="1">
                  <c:v>0.3</c:v>
                </c:pt>
                <c:pt idx="2">
                  <c:v>0.30000000000000004</c:v>
                </c:pt>
                <c:pt idx="3">
                  <c:v>0.29999985512258376</c:v>
                </c:pt>
                <c:pt idx="4">
                  <c:v>0.3</c:v>
                </c:pt>
                <c:pt idx="5">
                  <c:v>0.3</c:v>
                </c:pt>
                <c:pt idx="6">
                  <c:v>0.3</c:v>
                </c:pt>
                <c:pt idx="7">
                  <c:v>0.30000038907354287</c:v>
                </c:pt>
                <c:pt idx="8">
                  <c:v>0.29999995270406088</c:v>
                </c:pt>
                <c:pt idx="9">
                  <c:v>0.30000000000000004</c:v>
                </c:pt>
                <c:pt idx="10">
                  <c:v>0.30000000000000004</c:v>
                </c:pt>
                <c:pt idx="11">
                  <c:v>0.300000683622133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38A-4217-A685-926AC9BA35E2}"/>
            </c:ext>
          </c:extLst>
        </c:ser>
        <c:ser>
          <c:idx val="1"/>
          <c:order val="1"/>
          <c:tx>
            <c:strRef>
              <c:f>'Indicadores Absolutos'!$B$76</c:f>
              <c:strCache>
                <c:ptCount val="1"/>
                <c:pt idx="0">
                  <c:v>LB fam2 / LB</c:v>
                </c:pt>
              </c:strCache>
            </c:strRef>
          </c:tx>
          <c:marker>
            <c:symbol val="none"/>
          </c:marker>
          <c:cat>
            <c:strRef>
              <c:f>'Indicadores Absolutos'!$C$5:$N$5</c:f>
              <c:strCache>
                <c:ptCount val="12"/>
                <c:pt idx="0">
                  <c:v> jan 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out</c:v>
                </c:pt>
                <c:pt idx="10">
                  <c:v>nov</c:v>
                </c:pt>
                <c:pt idx="11">
                  <c:v>dez</c:v>
                </c:pt>
              </c:strCache>
            </c:strRef>
          </c:cat>
          <c:val>
            <c:numRef>
              <c:f>'Indicadores Absolutos'!$C$76:$N$76</c:f>
              <c:numCache>
                <c:formatCode>0.0%</c:formatCode>
                <c:ptCount val="12"/>
                <c:pt idx="0">
                  <c:v>0.25</c:v>
                </c:pt>
                <c:pt idx="1">
                  <c:v>0.25</c:v>
                </c:pt>
                <c:pt idx="2">
                  <c:v>0.25</c:v>
                </c:pt>
                <c:pt idx="3">
                  <c:v>0.24999987926881981</c:v>
                </c:pt>
                <c:pt idx="4">
                  <c:v>0.25</c:v>
                </c:pt>
                <c:pt idx="5">
                  <c:v>0.25</c:v>
                </c:pt>
                <c:pt idx="6">
                  <c:v>0.25</c:v>
                </c:pt>
                <c:pt idx="7">
                  <c:v>0.24999932286603813</c:v>
                </c:pt>
                <c:pt idx="8">
                  <c:v>0.25000001689140683</c:v>
                </c:pt>
                <c:pt idx="9">
                  <c:v>0.25000000000000006</c:v>
                </c:pt>
                <c:pt idx="10">
                  <c:v>0.25</c:v>
                </c:pt>
                <c:pt idx="11">
                  <c:v>0.25000056968511081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38A-4217-A685-926AC9BA35E2}"/>
            </c:ext>
          </c:extLst>
        </c:ser>
        <c:ser>
          <c:idx val="2"/>
          <c:order val="2"/>
          <c:tx>
            <c:strRef>
              <c:f>'Indicadores Absolutos'!$B$78</c:f>
              <c:strCache>
                <c:ptCount val="1"/>
                <c:pt idx="0">
                  <c:v>LB fam 3 / LB</c:v>
                </c:pt>
              </c:strCache>
            </c:strRef>
          </c:tx>
          <c:marker>
            <c:symbol val="none"/>
          </c:marker>
          <c:cat>
            <c:strRef>
              <c:f>'Indicadores Absolutos'!$C$5:$N$5</c:f>
              <c:strCache>
                <c:ptCount val="12"/>
                <c:pt idx="0">
                  <c:v> jan 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out</c:v>
                </c:pt>
                <c:pt idx="10">
                  <c:v>nov</c:v>
                </c:pt>
                <c:pt idx="11">
                  <c:v>dez</c:v>
                </c:pt>
              </c:strCache>
            </c:strRef>
          </c:cat>
          <c:val>
            <c:numRef>
              <c:f>'Indicadores Absolutos'!$C$78:$N$78</c:f>
              <c:numCache>
                <c:formatCode>0.0%</c:formatCode>
                <c:ptCount val="12"/>
                <c:pt idx="0">
                  <c:v>0.25</c:v>
                </c:pt>
                <c:pt idx="1">
                  <c:v>0.25</c:v>
                </c:pt>
                <c:pt idx="2">
                  <c:v>0.25</c:v>
                </c:pt>
                <c:pt idx="3">
                  <c:v>0.24999987926881981</c:v>
                </c:pt>
                <c:pt idx="4">
                  <c:v>0.25</c:v>
                </c:pt>
                <c:pt idx="5">
                  <c:v>0.25</c:v>
                </c:pt>
                <c:pt idx="6">
                  <c:v>0.25</c:v>
                </c:pt>
                <c:pt idx="7">
                  <c:v>0.24999932286603813</c:v>
                </c:pt>
                <c:pt idx="8">
                  <c:v>0.25000001689140683</c:v>
                </c:pt>
                <c:pt idx="9">
                  <c:v>0.25000000000000006</c:v>
                </c:pt>
                <c:pt idx="10">
                  <c:v>0.25</c:v>
                </c:pt>
                <c:pt idx="11">
                  <c:v>0.25000056968511081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38A-4217-A685-926AC9BA35E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88210336"/>
        <c:axId val="388212296"/>
      </c:lineChart>
      <c:catAx>
        <c:axId val="388210336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388212296"/>
        <c:crosses val="autoZero"/>
        <c:auto val="1"/>
        <c:lblAlgn val="ctr"/>
        <c:lblOffset val="100"/>
        <c:noMultiLvlLbl val="0"/>
      </c:catAx>
      <c:valAx>
        <c:axId val="388212296"/>
        <c:scaling>
          <c:orientation val="minMax"/>
        </c:scaling>
        <c:delete val="0"/>
        <c:axPos val="l"/>
        <c:majorGridlines/>
        <c:numFmt formatCode="0.0%" sourceLinked="1"/>
        <c:majorTickMark val="out"/>
        <c:minorTickMark val="none"/>
        <c:tickLblPos val="nextTo"/>
        <c:crossAx val="388210336"/>
        <c:crosses val="autoZero"/>
        <c:crossBetween val="between"/>
      </c:valAx>
    </c:plotArea>
    <c:legend>
      <c:legendPos val="b"/>
      <c:overlay val="0"/>
    </c:legend>
    <c:plotVisOnly val="1"/>
    <c:dispBlanksAs val="gap"/>
    <c:showDLblsOverMax val="0"/>
  </c:chart>
  <c:printSettings>
    <c:headerFooter/>
    <c:pageMargins b="0.75000000000000011" l="0.70000000000000007" r="0.70000000000000007" t="0.75000000000000011" header="0.30000000000000004" footer="0.30000000000000004"/>
    <c:pageSetup/>
  </c:printSettings>
  <c:userShapes r:id="rId1"/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7.7061860866253731E-2"/>
          <c:y val="0.15543068950700692"/>
          <c:w val="0.90207517090235689"/>
          <c:h val="0.71535282941703282"/>
        </c:manualLayout>
      </c:layout>
      <c:lineChart>
        <c:grouping val="standard"/>
        <c:varyColors val="0"/>
        <c:ser>
          <c:idx val="0"/>
          <c:order val="0"/>
          <c:tx>
            <c:strRef>
              <c:f>'Indicadores Relativos'!$D$94</c:f>
              <c:strCache>
                <c:ptCount val="1"/>
                <c:pt idx="0">
                  <c:v>Guarda Roupas (15%)</c:v>
                </c:pt>
              </c:strCache>
            </c:strRef>
          </c:tx>
          <c:marker>
            <c:symbol val="none"/>
          </c:marker>
          <c:cat>
            <c:strRef>
              <c:f>'Indicadores Relativos'!$E$87:$P$87</c:f>
              <c:strCache>
                <c:ptCount val="12"/>
                <c:pt idx="0">
                  <c:v> jan 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out</c:v>
                </c:pt>
                <c:pt idx="10">
                  <c:v>nov</c:v>
                </c:pt>
                <c:pt idx="11">
                  <c:v>dez</c:v>
                </c:pt>
              </c:strCache>
            </c:strRef>
          </c:cat>
          <c:val>
            <c:numRef>
              <c:f>'Indicadores Relativos'!$E$94:$P$94</c:f>
              <c:numCache>
                <c:formatCode>_("R$"* #,##0.00_);_("R$"* \(#,##0.00\);_("R$"* "-"??_);_(@_)</c:formatCode>
                <c:ptCount val="12"/>
                <c:pt idx="0">
                  <c:v>64980</c:v>
                </c:pt>
                <c:pt idx="1">
                  <c:v>68460</c:v>
                </c:pt>
                <c:pt idx="2">
                  <c:v>73080</c:v>
                </c:pt>
                <c:pt idx="3">
                  <c:v>76530</c:v>
                </c:pt>
                <c:pt idx="4">
                  <c:v>80970</c:v>
                </c:pt>
                <c:pt idx="5">
                  <c:v>84225</c:v>
                </c:pt>
                <c:pt idx="6">
                  <c:v>87405</c:v>
                </c:pt>
                <c:pt idx="7">
                  <c:v>90540</c:v>
                </c:pt>
                <c:pt idx="8">
                  <c:v>93615</c:v>
                </c:pt>
                <c:pt idx="9">
                  <c:v>98910</c:v>
                </c:pt>
                <c:pt idx="10">
                  <c:v>110655</c:v>
                </c:pt>
                <c:pt idx="11">
                  <c:v>134310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3F8-4B00-AA39-7C5BDE9B3FFF}"/>
            </c:ext>
          </c:extLst>
        </c:ser>
        <c:ser>
          <c:idx val="1"/>
          <c:order val="1"/>
          <c:tx>
            <c:strRef>
              <c:f>'Indicadores Relativos'!$D$100</c:f>
              <c:strCache>
                <c:ptCount val="1"/>
                <c:pt idx="0">
                  <c:v>Conjunto 3 Sala</c:v>
                </c:pt>
              </c:strCache>
            </c:strRef>
          </c:tx>
          <c:marker>
            <c:symbol val="none"/>
          </c:marker>
          <c:cat>
            <c:strRef>
              <c:f>'Indicadores Relativos'!$E$87:$P$87</c:f>
              <c:strCache>
                <c:ptCount val="12"/>
                <c:pt idx="0">
                  <c:v> jan 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out</c:v>
                </c:pt>
                <c:pt idx="10">
                  <c:v>nov</c:v>
                </c:pt>
                <c:pt idx="11">
                  <c:v>dez</c:v>
                </c:pt>
              </c:strCache>
            </c:strRef>
          </c:cat>
          <c:val>
            <c:numRef>
              <c:f>'Indicadores Relativos'!$E$100:$P$100</c:f>
              <c:numCache>
                <c:formatCode>_("R$"* #,##0.00_);_("R$"* \(#,##0.00\);_("R$"* "-"??_);_(@_)</c:formatCode>
                <c:ptCount val="12"/>
                <c:pt idx="0">
                  <c:v>95304</c:v>
                </c:pt>
                <c:pt idx="1">
                  <c:v>100408</c:v>
                </c:pt>
                <c:pt idx="2">
                  <c:v>107184</c:v>
                </c:pt>
                <c:pt idx="3">
                  <c:v>112244</c:v>
                </c:pt>
                <c:pt idx="4">
                  <c:v>118756</c:v>
                </c:pt>
                <c:pt idx="5">
                  <c:v>123530</c:v>
                </c:pt>
                <c:pt idx="6">
                  <c:v>128194</c:v>
                </c:pt>
                <c:pt idx="7">
                  <c:v>132792</c:v>
                </c:pt>
                <c:pt idx="8">
                  <c:v>137302</c:v>
                </c:pt>
                <c:pt idx="9">
                  <c:v>145068</c:v>
                </c:pt>
                <c:pt idx="10">
                  <c:v>162294</c:v>
                </c:pt>
                <c:pt idx="11">
                  <c:v>196988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3F8-4B00-AA39-7C5BDE9B3FFF}"/>
            </c:ext>
          </c:extLst>
        </c:ser>
        <c:ser>
          <c:idx val="2"/>
          <c:order val="2"/>
          <c:tx>
            <c:strRef>
              <c:f>'Indicadores Relativos'!$D$106</c:f>
              <c:strCache>
                <c:ptCount val="1"/>
                <c:pt idx="0">
                  <c:v>Mesa de Escritório (9%)</c:v>
                </c:pt>
              </c:strCache>
            </c:strRef>
          </c:tx>
          <c:marker>
            <c:symbol val="none"/>
          </c:marker>
          <c:cat>
            <c:strRef>
              <c:f>'Indicadores Relativos'!$E$87:$P$87</c:f>
              <c:strCache>
                <c:ptCount val="12"/>
                <c:pt idx="0">
                  <c:v> jan 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out</c:v>
                </c:pt>
                <c:pt idx="10">
                  <c:v>nov</c:v>
                </c:pt>
                <c:pt idx="11">
                  <c:v>dez</c:v>
                </c:pt>
              </c:strCache>
            </c:strRef>
          </c:cat>
          <c:val>
            <c:numRef>
              <c:f>'Indicadores Relativos'!$E$106:$P$106</c:f>
              <c:numCache>
                <c:formatCode>_("R$"* #,##0.00_);_("R$"* \(#,##0.00\);_("R$"* "-"??_);_(@_)</c:formatCode>
                <c:ptCount val="12"/>
                <c:pt idx="0">
                  <c:v>38988</c:v>
                </c:pt>
                <c:pt idx="1">
                  <c:v>41076</c:v>
                </c:pt>
                <c:pt idx="2">
                  <c:v>43848</c:v>
                </c:pt>
                <c:pt idx="3">
                  <c:v>45918</c:v>
                </c:pt>
                <c:pt idx="4">
                  <c:v>48582</c:v>
                </c:pt>
                <c:pt idx="5">
                  <c:v>50535</c:v>
                </c:pt>
                <c:pt idx="6">
                  <c:v>52443</c:v>
                </c:pt>
                <c:pt idx="7">
                  <c:v>54324</c:v>
                </c:pt>
                <c:pt idx="8">
                  <c:v>56169</c:v>
                </c:pt>
                <c:pt idx="9">
                  <c:v>59346</c:v>
                </c:pt>
                <c:pt idx="10">
                  <c:v>66393</c:v>
                </c:pt>
                <c:pt idx="11">
                  <c:v>80586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3F8-4B00-AA39-7C5BDE9B3FF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88211120"/>
        <c:axId val="388206416"/>
      </c:lineChart>
      <c:catAx>
        <c:axId val="388211120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388206416"/>
        <c:crosses val="autoZero"/>
        <c:auto val="1"/>
        <c:lblAlgn val="ctr"/>
        <c:lblOffset val="100"/>
        <c:noMultiLvlLbl val="0"/>
      </c:catAx>
      <c:valAx>
        <c:axId val="388206416"/>
        <c:scaling>
          <c:orientation val="minMax"/>
        </c:scaling>
        <c:delete val="0"/>
        <c:axPos val="l"/>
        <c:majorGridlines/>
        <c:numFmt formatCode="_(&quot;R$&quot;* #,##0.00_);_(&quot;R$&quot;* \(#,##0.00\);_(&quot;R$&quot;* &quot;-&quot;??_);_(@_)" sourceLinked="1"/>
        <c:majorTickMark val="out"/>
        <c:minorTickMark val="none"/>
        <c:tickLblPos val="nextTo"/>
        <c:crossAx val="388211120"/>
        <c:crosses val="autoZero"/>
        <c:crossBetween val="between"/>
      </c:valAx>
    </c:plotArea>
    <c:legend>
      <c:legendPos val="b"/>
      <c:overlay val="0"/>
    </c:legend>
    <c:plotVisOnly val="1"/>
    <c:dispBlanksAs val="gap"/>
    <c:showDLblsOverMax val="0"/>
  </c:chart>
  <c:printSettings>
    <c:headerFooter/>
    <c:pageMargins b="0.75000000000000011" l="0.70000000000000007" r="0.70000000000000007" t="0.75000000000000011" header="0.30000000000000004" footer="0.30000000000000004"/>
    <c:pageSetup/>
  </c:printSettings>
  <c:userShapes r:id="rId1"/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'Indicadores Relativos'!$C$10</c:f>
              <c:strCache>
                <c:ptCount val="1"/>
                <c:pt idx="0">
                  <c:v>CMV / RL</c:v>
                </c:pt>
              </c:strCache>
            </c:strRef>
          </c:tx>
          <c:marker>
            <c:symbol val="none"/>
          </c:marker>
          <c:cat>
            <c:strRef>
              <c:f>'Indicadores Relativos'!$D$5:$O$5</c:f>
              <c:strCache>
                <c:ptCount val="12"/>
                <c:pt idx="0">
                  <c:v> jan 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out</c:v>
                </c:pt>
                <c:pt idx="10">
                  <c:v>nov</c:v>
                </c:pt>
                <c:pt idx="11">
                  <c:v>dez</c:v>
                </c:pt>
              </c:strCache>
            </c:strRef>
          </c:cat>
          <c:val>
            <c:numRef>
              <c:f>'Indicadores Relativos'!$D$10:$O$10</c:f>
              <c:numCache>
                <c:formatCode>0.0%</c:formatCode>
                <c:ptCount val="12"/>
                <c:pt idx="0">
                  <c:v>0.52508050000000006</c:v>
                </c:pt>
                <c:pt idx="1">
                  <c:v>0.51768499999999995</c:v>
                </c:pt>
                <c:pt idx="2">
                  <c:v>0.51028949999999995</c:v>
                </c:pt>
                <c:pt idx="3">
                  <c:v>0.49549825636363637</c:v>
                </c:pt>
                <c:pt idx="4">
                  <c:v>0.48810299999999995</c:v>
                </c:pt>
                <c:pt idx="5">
                  <c:v>0.48070749999999995</c:v>
                </c:pt>
                <c:pt idx="6">
                  <c:v>0.47331200000000001</c:v>
                </c:pt>
                <c:pt idx="7">
                  <c:v>0.46591724835443044</c:v>
                </c:pt>
                <c:pt idx="8">
                  <c:v>0.45852103658536586</c:v>
                </c:pt>
                <c:pt idx="9">
                  <c:v>0.45112550000000007</c:v>
                </c:pt>
                <c:pt idx="10">
                  <c:v>0.44373000000000001</c:v>
                </c:pt>
                <c:pt idx="11">
                  <c:v>0.43633578444444443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30E-478E-88F3-3D68092DC09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87583384"/>
        <c:axId val="387586520"/>
      </c:lineChart>
      <c:catAx>
        <c:axId val="387583384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387586520"/>
        <c:crosses val="autoZero"/>
        <c:auto val="1"/>
        <c:lblAlgn val="ctr"/>
        <c:lblOffset val="100"/>
        <c:noMultiLvlLbl val="0"/>
      </c:catAx>
      <c:valAx>
        <c:axId val="387586520"/>
        <c:scaling>
          <c:orientation val="minMax"/>
        </c:scaling>
        <c:delete val="0"/>
        <c:axPos val="l"/>
        <c:majorGridlines/>
        <c:numFmt formatCode="0.0%" sourceLinked="1"/>
        <c:majorTickMark val="out"/>
        <c:minorTickMark val="none"/>
        <c:tickLblPos val="nextTo"/>
        <c:crossAx val="387583384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'Indicadores Relativos'!$C$12</c:f>
              <c:strCache>
                <c:ptCount val="1"/>
                <c:pt idx="0">
                  <c:v>LB / RL</c:v>
                </c:pt>
              </c:strCache>
            </c:strRef>
          </c:tx>
          <c:marker>
            <c:symbol val="none"/>
          </c:marker>
          <c:cat>
            <c:strRef>
              <c:f>'Indicadores Relativos'!$D$5:$O$5</c:f>
              <c:strCache>
                <c:ptCount val="12"/>
                <c:pt idx="0">
                  <c:v> jan 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out</c:v>
                </c:pt>
                <c:pt idx="10">
                  <c:v>nov</c:v>
                </c:pt>
                <c:pt idx="11">
                  <c:v>dez</c:v>
                </c:pt>
              </c:strCache>
            </c:strRef>
          </c:cat>
          <c:val>
            <c:numRef>
              <c:f>'Indicadores Relativos'!$D$12:$O$12</c:f>
              <c:numCache>
                <c:formatCode>0.0%</c:formatCode>
                <c:ptCount val="12"/>
                <c:pt idx="0">
                  <c:v>0.47491949999999994</c:v>
                </c:pt>
                <c:pt idx="1">
                  <c:v>0.48231499999999999</c:v>
                </c:pt>
                <c:pt idx="2">
                  <c:v>0.48971049999999999</c:v>
                </c:pt>
                <c:pt idx="3">
                  <c:v>0.50450174363636369</c:v>
                </c:pt>
                <c:pt idx="4">
                  <c:v>0.51189700000000005</c:v>
                </c:pt>
                <c:pt idx="5">
                  <c:v>0.51929250000000005</c:v>
                </c:pt>
                <c:pt idx="6">
                  <c:v>0.52668800000000005</c:v>
                </c:pt>
                <c:pt idx="7">
                  <c:v>0.53408275164556951</c:v>
                </c:pt>
                <c:pt idx="8">
                  <c:v>0.5414789634146342</c:v>
                </c:pt>
                <c:pt idx="9">
                  <c:v>0.54887449999999993</c:v>
                </c:pt>
                <c:pt idx="10">
                  <c:v>0.55627000000000004</c:v>
                </c:pt>
                <c:pt idx="11">
                  <c:v>0.56366421555555557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F8F-4354-AD11-76CFA7937DE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87580640"/>
        <c:axId val="387581816"/>
      </c:lineChart>
      <c:catAx>
        <c:axId val="387580640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387581816"/>
        <c:crosses val="autoZero"/>
        <c:auto val="1"/>
        <c:lblAlgn val="ctr"/>
        <c:lblOffset val="100"/>
        <c:noMultiLvlLbl val="0"/>
      </c:catAx>
      <c:valAx>
        <c:axId val="387581816"/>
        <c:scaling>
          <c:orientation val="minMax"/>
        </c:scaling>
        <c:delete val="0"/>
        <c:axPos val="l"/>
        <c:majorGridlines/>
        <c:numFmt formatCode="0.0%" sourceLinked="1"/>
        <c:majorTickMark val="out"/>
        <c:minorTickMark val="none"/>
        <c:tickLblPos val="nextTo"/>
        <c:crossAx val="387580640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'Indicadores Relativos'!$C$14</c:f>
              <c:strCache>
                <c:ptCount val="1"/>
                <c:pt idx="0">
                  <c:v>DAC / RL</c:v>
                </c:pt>
              </c:strCache>
            </c:strRef>
          </c:tx>
          <c:marker>
            <c:symbol val="none"/>
          </c:marker>
          <c:cat>
            <c:strRef>
              <c:f>'Indicadores Relativos'!$D$5:$O$5</c:f>
              <c:strCache>
                <c:ptCount val="12"/>
                <c:pt idx="0">
                  <c:v> jan 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out</c:v>
                </c:pt>
                <c:pt idx="10">
                  <c:v>nov</c:v>
                </c:pt>
                <c:pt idx="11">
                  <c:v>dez</c:v>
                </c:pt>
              </c:strCache>
            </c:strRef>
          </c:cat>
          <c:val>
            <c:numRef>
              <c:f>'Indicadores Relativos'!$D$14:$O$14</c:f>
              <c:numCache>
                <c:formatCode>0.0%</c:formatCode>
                <c:ptCount val="12"/>
                <c:pt idx="0">
                  <c:v>0.3</c:v>
                </c:pt>
                <c:pt idx="1">
                  <c:v>0.3</c:v>
                </c:pt>
                <c:pt idx="2">
                  <c:v>0.3</c:v>
                </c:pt>
                <c:pt idx="3">
                  <c:v>0.3</c:v>
                </c:pt>
                <c:pt idx="4">
                  <c:v>0.3</c:v>
                </c:pt>
                <c:pt idx="5">
                  <c:v>0.3</c:v>
                </c:pt>
                <c:pt idx="6">
                  <c:v>0.3</c:v>
                </c:pt>
                <c:pt idx="7">
                  <c:v>0.3</c:v>
                </c:pt>
                <c:pt idx="8">
                  <c:v>0.3</c:v>
                </c:pt>
                <c:pt idx="9">
                  <c:v>0.3</c:v>
                </c:pt>
                <c:pt idx="10">
                  <c:v>0.3</c:v>
                </c:pt>
                <c:pt idx="11">
                  <c:v>0.3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D9C-41D4-A360-792C9E05051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87584560"/>
        <c:axId val="387586912"/>
      </c:lineChart>
      <c:catAx>
        <c:axId val="387584560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387586912"/>
        <c:crosses val="autoZero"/>
        <c:auto val="1"/>
        <c:lblAlgn val="ctr"/>
        <c:lblOffset val="100"/>
        <c:noMultiLvlLbl val="0"/>
      </c:catAx>
      <c:valAx>
        <c:axId val="387586912"/>
        <c:scaling>
          <c:orientation val="minMax"/>
        </c:scaling>
        <c:delete val="0"/>
        <c:axPos val="l"/>
        <c:majorGridlines/>
        <c:numFmt formatCode="0.0%" sourceLinked="1"/>
        <c:majorTickMark val="out"/>
        <c:minorTickMark val="none"/>
        <c:tickLblPos val="nextTo"/>
        <c:crossAx val="387584560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'Indicadores Relativos'!$C$18</c:f>
              <c:strCache>
                <c:ptCount val="1"/>
                <c:pt idx="0">
                  <c:v>LL / RL</c:v>
                </c:pt>
              </c:strCache>
            </c:strRef>
          </c:tx>
          <c:marker>
            <c:symbol val="none"/>
          </c:marker>
          <c:cat>
            <c:strRef>
              <c:f>'Indicadores Relativos'!$D$5:$O$5</c:f>
              <c:strCache>
                <c:ptCount val="12"/>
                <c:pt idx="0">
                  <c:v> jan 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out</c:v>
                </c:pt>
                <c:pt idx="10">
                  <c:v>nov</c:v>
                </c:pt>
                <c:pt idx="11">
                  <c:v>dez</c:v>
                </c:pt>
              </c:strCache>
            </c:strRef>
          </c:cat>
          <c:val>
            <c:numRef>
              <c:f>'Indicadores Relativos'!$D$18:$O$18</c:f>
              <c:numCache>
                <c:formatCode>0.0%</c:formatCode>
                <c:ptCount val="12"/>
                <c:pt idx="0">
                  <c:v>0.17764677272727269</c:v>
                </c:pt>
                <c:pt idx="1">
                  <c:v>0.18502189655172416</c:v>
                </c:pt>
                <c:pt idx="2">
                  <c:v>0.19237179032258067</c:v>
                </c:pt>
                <c:pt idx="3">
                  <c:v>0.20712295575757575</c:v>
                </c:pt>
                <c:pt idx="4">
                  <c:v>0.21446842857142862</c:v>
                </c:pt>
                <c:pt idx="5">
                  <c:v>0.22185414383561647</c:v>
                </c:pt>
                <c:pt idx="6">
                  <c:v>0.22925378947368422</c:v>
                </c:pt>
                <c:pt idx="7">
                  <c:v>0.23665237189873412</c:v>
                </c:pt>
                <c:pt idx="8">
                  <c:v>0.24403993902439025</c:v>
                </c:pt>
                <c:pt idx="9">
                  <c:v>0.25146070689655164</c:v>
                </c:pt>
                <c:pt idx="10">
                  <c:v>0.25879631578947371</c:v>
                </c:pt>
                <c:pt idx="11">
                  <c:v>0.26616421555555553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86D-40EB-9AD8-A3BC8D40EF7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87582208"/>
        <c:axId val="387581032"/>
      </c:lineChart>
      <c:catAx>
        <c:axId val="387582208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387581032"/>
        <c:crosses val="autoZero"/>
        <c:auto val="1"/>
        <c:lblAlgn val="ctr"/>
        <c:lblOffset val="100"/>
        <c:noMultiLvlLbl val="0"/>
      </c:catAx>
      <c:valAx>
        <c:axId val="387581032"/>
        <c:scaling>
          <c:orientation val="minMax"/>
        </c:scaling>
        <c:delete val="0"/>
        <c:axPos val="l"/>
        <c:majorGridlines/>
        <c:numFmt formatCode="0.0%" sourceLinked="1"/>
        <c:majorTickMark val="out"/>
        <c:minorTickMark val="none"/>
        <c:tickLblPos val="nextTo"/>
        <c:crossAx val="387582208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Giros de Estoque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'Indicadores Relativos'!$D$113</c:f>
              <c:strCache>
                <c:ptCount val="1"/>
                <c:pt idx="0">
                  <c:v>giros de estoque anual sobre RL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'Indicadores Relativos'!$E$87:$P$87</c:f>
              <c:strCache>
                <c:ptCount val="12"/>
                <c:pt idx="0">
                  <c:v> jan 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out</c:v>
                </c:pt>
                <c:pt idx="10">
                  <c:v>nov</c:v>
                </c:pt>
                <c:pt idx="11">
                  <c:v>dez</c:v>
                </c:pt>
              </c:strCache>
            </c:strRef>
          </c:cat>
          <c:val>
            <c:numRef>
              <c:f>'Indicadores Relativos'!$E$113:$P$113</c:f>
              <c:numCache>
                <c:formatCode>0.0</c:formatCode>
                <c:ptCount val="12"/>
                <c:pt idx="0">
                  <c:v>15.235457063711911</c:v>
                </c:pt>
                <c:pt idx="1">
                  <c:v>15.249780893952673</c:v>
                </c:pt>
                <c:pt idx="2">
                  <c:v>15.270935960591133</c:v>
                </c:pt>
                <c:pt idx="3">
                  <c:v>15.523324186593493</c:v>
                </c:pt>
                <c:pt idx="4">
                  <c:v>15.561319007039645</c:v>
                </c:pt>
                <c:pt idx="5">
                  <c:v>15.60106856634016</c:v>
                </c:pt>
                <c:pt idx="6">
                  <c:v>15.651278530976489</c:v>
                </c:pt>
                <c:pt idx="7">
                  <c:v>15.705765407554672</c:v>
                </c:pt>
                <c:pt idx="8">
                  <c:v>15.766704053837525</c:v>
                </c:pt>
                <c:pt idx="9">
                  <c:v>15.832575068243859</c:v>
                </c:pt>
                <c:pt idx="10">
                  <c:v>15.453436356242374</c:v>
                </c:pt>
                <c:pt idx="11">
                  <c:v>14.473978110341747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08E-4B5B-A1AE-8303CED3A96F}"/>
            </c:ext>
          </c:extLst>
        </c:ser>
        <c:ser>
          <c:idx val="1"/>
          <c:order val="1"/>
          <c:tx>
            <c:strRef>
              <c:f>'Indicadores Relativos'!$D$116</c:f>
              <c:strCache>
                <c:ptCount val="1"/>
                <c:pt idx="0">
                  <c:v>giros de estoque anual sobre CMV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'Indicadores Relativos'!$E$87:$P$87</c:f>
              <c:strCache>
                <c:ptCount val="12"/>
                <c:pt idx="0">
                  <c:v> jan 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out</c:v>
                </c:pt>
                <c:pt idx="10">
                  <c:v>nov</c:v>
                </c:pt>
                <c:pt idx="11">
                  <c:v>dez</c:v>
                </c:pt>
              </c:strCache>
            </c:strRef>
          </c:cat>
          <c:val>
            <c:numRef>
              <c:f>'Indicadores Relativos'!$E$116:$P$116</c:f>
              <c:numCache>
                <c:formatCode>0.0</c:formatCode>
                <c:ptCount val="12"/>
                <c:pt idx="0">
                  <c:v>7.9998414127423825</c:v>
                </c:pt>
                <c:pt idx="1">
                  <c:v>7.8945828220858889</c:v>
                </c:pt>
                <c:pt idx="2">
                  <c:v>7.7925982758620691</c:v>
                </c:pt>
                <c:pt idx="3">
                  <c:v>7.6917800674245385</c:v>
                </c:pt>
                <c:pt idx="4">
                  <c:v>7.5955264912930707</c:v>
                </c:pt>
                <c:pt idx="5">
                  <c:v>7.4995506678539616</c:v>
                </c:pt>
                <c:pt idx="6">
                  <c:v>7.4079379440535433</c:v>
                </c:pt>
                <c:pt idx="7">
                  <c:v>7.3175870019880724</c:v>
                </c:pt>
                <c:pt idx="8">
                  <c:v>7.2293654863002725</c:v>
                </c:pt>
                <c:pt idx="9">
                  <c:v>7.1424783439490458</c:v>
                </c:pt>
                <c:pt idx="10">
                  <c:v>6.8571533143554291</c:v>
                </c:pt>
                <c:pt idx="11">
                  <c:v>6.3155145928076841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08E-4B5B-A1AE-8303CED3A96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21828424"/>
        <c:axId val="521828096"/>
      </c:lineChart>
      <c:catAx>
        <c:axId val="5218284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21828096"/>
        <c:crosses val="autoZero"/>
        <c:auto val="1"/>
        <c:lblAlgn val="ctr"/>
        <c:lblOffset val="100"/>
        <c:noMultiLvlLbl val="0"/>
      </c:catAx>
      <c:valAx>
        <c:axId val="5218280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218284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Giros de Estoque  -  ano 1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lineChart>
        <c:grouping val="stacked"/>
        <c:varyColors val="0"/>
        <c:ser>
          <c:idx val="0"/>
          <c:order val="0"/>
          <c:tx>
            <c:strRef>
              <c:f>'ORÇAMENTO 3 anos'!$A$167</c:f>
              <c:strCache>
                <c:ptCount val="1"/>
                <c:pt idx="0">
                  <c:v>giros RL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'ORÇAMENTO 3 anos'!$B$3:$M$3</c:f>
              <c:strCache>
                <c:ptCount val="12"/>
                <c:pt idx="0">
                  <c:v> jan 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out</c:v>
                </c:pt>
                <c:pt idx="10">
                  <c:v>nov</c:v>
                </c:pt>
                <c:pt idx="11">
                  <c:v>dez</c:v>
                </c:pt>
              </c:strCache>
            </c:strRef>
          </c:cat>
          <c:val>
            <c:numRef>
              <c:f>'ORÇAMENTO 3 anos'!$B$167:$M$167</c:f>
              <c:numCache>
                <c:formatCode>0.0</c:formatCode>
                <c:ptCount val="12"/>
                <c:pt idx="0">
                  <c:v>15.235457063711911</c:v>
                </c:pt>
                <c:pt idx="1">
                  <c:v>15.249780893952673</c:v>
                </c:pt>
                <c:pt idx="2">
                  <c:v>15.270935960591133</c:v>
                </c:pt>
                <c:pt idx="3">
                  <c:v>15.523324186593493</c:v>
                </c:pt>
                <c:pt idx="4">
                  <c:v>15.561319007039645</c:v>
                </c:pt>
                <c:pt idx="5">
                  <c:v>15.60106856634016</c:v>
                </c:pt>
                <c:pt idx="6">
                  <c:v>15.651278530976489</c:v>
                </c:pt>
                <c:pt idx="7">
                  <c:v>15.705765407554672</c:v>
                </c:pt>
                <c:pt idx="8">
                  <c:v>15.766704053837525</c:v>
                </c:pt>
                <c:pt idx="9">
                  <c:v>15.832575068243859</c:v>
                </c:pt>
                <c:pt idx="10">
                  <c:v>15.453436356242374</c:v>
                </c:pt>
                <c:pt idx="11">
                  <c:v>14.473978110341747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8BB-4394-95DE-5E17F2FF76D4}"/>
            </c:ext>
          </c:extLst>
        </c:ser>
        <c:ser>
          <c:idx val="1"/>
          <c:order val="1"/>
          <c:tx>
            <c:strRef>
              <c:f>'ORÇAMENTO 3 anos'!$A$168</c:f>
              <c:strCache>
                <c:ptCount val="1"/>
                <c:pt idx="0">
                  <c:v>giros CMV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'ORÇAMENTO 3 anos'!$B$3:$M$3</c:f>
              <c:strCache>
                <c:ptCount val="12"/>
                <c:pt idx="0">
                  <c:v> jan 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out</c:v>
                </c:pt>
                <c:pt idx="10">
                  <c:v>nov</c:v>
                </c:pt>
                <c:pt idx="11">
                  <c:v>dez</c:v>
                </c:pt>
              </c:strCache>
            </c:strRef>
          </c:cat>
          <c:val>
            <c:numRef>
              <c:f>'ORÇAMENTO 3 anos'!$B$168:$M$168</c:f>
              <c:numCache>
                <c:formatCode>0.0</c:formatCode>
                <c:ptCount val="12"/>
                <c:pt idx="0">
                  <c:v>7.9998414127423825</c:v>
                </c:pt>
                <c:pt idx="1">
                  <c:v>7.8945828220858889</c:v>
                </c:pt>
                <c:pt idx="2">
                  <c:v>7.7925982758620691</c:v>
                </c:pt>
                <c:pt idx="3">
                  <c:v>7.6917800674245385</c:v>
                </c:pt>
                <c:pt idx="4">
                  <c:v>7.5955264912930707</c:v>
                </c:pt>
                <c:pt idx="5">
                  <c:v>7.4995506678539616</c:v>
                </c:pt>
                <c:pt idx="6">
                  <c:v>7.4079379440535433</c:v>
                </c:pt>
                <c:pt idx="7">
                  <c:v>7.3175870019880724</c:v>
                </c:pt>
                <c:pt idx="8">
                  <c:v>7.2293654863002725</c:v>
                </c:pt>
                <c:pt idx="9">
                  <c:v>7.1424783439490458</c:v>
                </c:pt>
                <c:pt idx="10">
                  <c:v>6.8571533143554291</c:v>
                </c:pt>
                <c:pt idx="11">
                  <c:v>6.3155145928076841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8BB-4394-95DE-5E17F2FF76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74068776"/>
        <c:axId val="574066808"/>
      </c:lineChart>
      <c:catAx>
        <c:axId val="5740687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74066808"/>
        <c:crosses val="autoZero"/>
        <c:auto val="1"/>
        <c:lblAlgn val="ctr"/>
        <c:lblOffset val="100"/>
        <c:noMultiLvlLbl val="0"/>
      </c:catAx>
      <c:valAx>
        <c:axId val="5740668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740687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8.xml"/><Relationship Id="rId2" Type="http://schemas.openxmlformats.org/officeDocument/2006/relationships/chart" Target="../charts/chart7.xml"/><Relationship Id="rId1" Type="http://schemas.openxmlformats.org/officeDocument/2006/relationships/chart" Target="../charts/chart6.xml"/><Relationship Id="rId5" Type="http://schemas.openxmlformats.org/officeDocument/2006/relationships/chart" Target="../charts/chart10.xml"/><Relationship Id="rId4" Type="http://schemas.openxmlformats.org/officeDocument/2006/relationships/chart" Target="../charts/chart9.xml"/></Relationships>
</file>

<file path=xl/drawings/_rels/drawing1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3.xml"/><Relationship Id="rId2" Type="http://schemas.openxmlformats.org/officeDocument/2006/relationships/chart" Target="../charts/chart12.xml"/><Relationship Id="rId1" Type="http://schemas.openxmlformats.org/officeDocument/2006/relationships/chart" Target="../charts/chart11.xml"/><Relationship Id="rId5" Type="http://schemas.openxmlformats.org/officeDocument/2006/relationships/chart" Target="../charts/chart15.xml"/><Relationship Id="rId4" Type="http://schemas.openxmlformats.org/officeDocument/2006/relationships/chart" Target="../charts/chart14.xml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342900</xdr:colOff>
      <xdr:row>1</xdr:row>
      <xdr:rowOff>19050</xdr:rowOff>
    </xdr:from>
    <xdr:to>
      <xdr:col>26</xdr:col>
      <xdr:colOff>603250</xdr:colOff>
      <xdr:row>19</xdr:row>
      <xdr:rowOff>9525</xdr:rowOff>
    </xdr:to>
    <xdr:graphicFrame macro="">
      <xdr:nvGraphicFramePr>
        <xdr:cNvPr id="1025" name="Gráfico 2">
          <a:extLst>
            <a:ext uri="{FF2B5EF4-FFF2-40B4-BE49-F238E27FC236}">
              <a16:creationId xmlns:a16="http://schemas.microsoft.com/office/drawing/2014/main" id="{00000000-0008-0000-0000-0000010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380999</xdr:colOff>
      <xdr:row>20</xdr:row>
      <xdr:rowOff>28575</xdr:rowOff>
    </xdr:from>
    <xdr:to>
      <xdr:col>27</xdr:col>
      <xdr:colOff>0</xdr:colOff>
      <xdr:row>37</xdr:row>
      <xdr:rowOff>142875</xdr:rowOff>
    </xdr:to>
    <xdr:graphicFrame macro="">
      <xdr:nvGraphicFramePr>
        <xdr:cNvPr id="1026" name="Chart 2">
          <a:extLst>
            <a:ext uri="{FF2B5EF4-FFF2-40B4-BE49-F238E27FC236}">
              <a16:creationId xmlns:a16="http://schemas.microsoft.com/office/drawing/2014/main" id="{00000000-0008-0000-0000-000002040000}"/>
            </a:ext>
            <a:ext uri="{147F2762-F138-4A5C-976F-8EAC2B608ADB}">
              <a16:predDERef xmlns:a16="http://schemas.microsoft.com/office/drawing/2014/main" pred="{00000000-0008-0000-0000-0000010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15</xdr:col>
      <xdr:colOff>425822</xdr:colOff>
      <xdr:row>40</xdr:row>
      <xdr:rowOff>11205</xdr:rowOff>
    </xdr:from>
    <xdr:to>
      <xdr:col>26</xdr:col>
      <xdr:colOff>603250</xdr:colOff>
      <xdr:row>67</xdr:row>
      <xdr:rowOff>100852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15</xdr:col>
      <xdr:colOff>470645</xdr:colOff>
      <xdr:row>71</xdr:row>
      <xdr:rowOff>174810</xdr:rowOff>
    </xdr:from>
    <xdr:to>
      <xdr:col>28</xdr:col>
      <xdr:colOff>518582</xdr:colOff>
      <xdr:row>104</xdr:row>
      <xdr:rowOff>100853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15</xdr:col>
      <xdr:colOff>286773</xdr:colOff>
      <xdr:row>107</xdr:row>
      <xdr:rowOff>22412</xdr:rowOff>
    </xdr:from>
    <xdr:to>
      <xdr:col>28</xdr:col>
      <xdr:colOff>370416</xdr:colOff>
      <xdr:row>136</xdr:row>
      <xdr:rowOff>138953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0.25097</cdr:x>
      <cdr:y>0.01778</cdr:y>
    </cdr:from>
    <cdr:to>
      <cdr:x>0.83784</cdr:x>
      <cdr:y>0.07333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1456764" y="89647"/>
          <a:ext cx="3406589" cy="280147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pt-BR" sz="1600" b="1"/>
            <a:t>Custo das</a:t>
          </a:r>
          <a:r>
            <a:rPr lang="pt-BR" sz="1600" b="1" baseline="0"/>
            <a:t> Mercadorias Vendidas</a:t>
          </a:r>
          <a:endParaRPr lang="pt-BR" sz="1600" b="1"/>
        </a:p>
      </cdr:txBody>
    </cdr:sp>
  </cdr:relSizeAnchor>
  <cdr:relSizeAnchor xmlns:cdr="http://schemas.openxmlformats.org/drawingml/2006/chartDrawing">
    <cdr:from>
      <cdr:x>0.21154</cdr:x>
      <cdr:y>0.96455</cdr:y>
    </cdr:from>
    <cdr:to>
      <cdr:x>0.2193</cdr:x>
      <cdr:y>0.97329</cdr:y>
    </cdr:to>
    <cdr:sp macro="" textlink="">
      <cdr:nvSpPr>
        <cdr:cNvPr id="3" name="CaixaDeTexto 2">
          <a:extLst xmlns:a="http://schemas.openxmlformats.org/drawingml/2006/main">
            <a:ext uri="{FF2B5EF4-FFF2-40B4-BE49-F238E27FC236}">
              <a16:creationId xmlns:a16="http://schemas.microsoft.com/office/drawing/2014/main" id="{57FC1D89-0CF3-4B84-8770-C7A0F83261AE}"/>
            </a:ext>
          </a:extLst>
        </cdr:cNvPr>
        <cdr:cNvSpPr txBox="1"/>
      </cdr:nvSpPr>
      <cdr:spPr>
        <a:xfrm xmlns:a="http://schemas.openxmlformats.org/drawingml/2006/main">
          <a:off x="1246344" y="5047628"/>
          <a:ext cx="45719" cy="45719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pt-BR" sz="1100"/>
        </a:p>
      </cdr:txBody>
    </cdr:sp>
  </cdr:relSizeAnchor>
  <cdr:relSizeAnchor xmlns:cdr="http://schemas.openxmlformats.org/drawingml/2006/chartDrawing">
    <cdr:from>
      <cdr:x>0.4224</cdr:x>
      <cdr:y>0.41263</cdr:y>
    </cdr:from>
    <cdr:to>
      <cdr:x>0.5776</cdr:x>
      <cdr:y>0.58737</cdr:y>
    </cdr:to>
    <cdr:sp macro="" textlink="">
      <cdr:nvSpPr>
        <cdr:cNvPr id="4" name="CaixaDeTexto 3">
          <a:extLst xmlns:a="http://schemas.openxmlformats.org/drawingml/2006/main">
            <a:ext uri="{FF2B5EF4-FFF2-40B4-BE49-F238E27FC236}">
              <a16:creationId xmlns:a16="http://schemas.microsoft.com/office/drawing/2014/main" id="{3289EF8F-15FA-4606-A167-EAC8854F3C84}"/>
            </a:ext>
          </a:extLst>
        </cdr:cNvPr>
        <cdr:cNvSpPr txBox="1"/>
      </cdr:nvSpPr>
      <cdr:spPr>
        <a:xfrm xmlns:a="http://schemas.openxmlformats.org/drawingml/2006/main">
          <a:off x="2488703" y="2159373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pt-BR" sz="1100"/>
        </a:p>
      </cdr:txBody>
    </cdr:sp>
  </cdr:relSizeAnchor>
  <cdr:relSizeAnchor xmlns:cdr="http://schemas.openxmlformats.org/drawingml/2006/chartDrawing">
    <cdr:from>
      <cdr:x>0.4224</cdr:x>
      <cdr:y>0.41263</cdr:y>
    </cdr:from>
    <cdr:to>
      <cdr:x>0.5776</cdr:x>
      <cdr:y>0.58737</cdr:y>
    </cdr:to>
    <cdr:sp macro="" textlink="">
      <cdr:nvSpPr>
        <cdr:cNvPr id="5" name="CaixaDeTexto 4">
          <a:extLst xmlns:a="http://schemas.openxmlformats.org/drawingml/2006/main">
            <a:ext uri="{FF2B5EF4-FFF2-40B4-BE49-F238E27FC236}">
              <a16:creationId xmlns:a16="http://schemas.microsoft.com/office/drawing/2014/main" id="{D9E1912F-81FC-46FE-A1F0-C43C3EE0ACE2}"/>
            </a:ext>
          </a:extLst>
        </cdr:cNvPr>
        <cdr:cNvSpPr txBox="1"/>
      </cdr:nvSpPr>
      <cdr:spPr>
        <a:xfrm xmlns:a="http://schemas.openxmlformats.org/drawingml/2006/main">
          <a:off x="2488703" y="2159373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pt-BR" sz="1100"/>
        </a:p>
      </cdr:txBody>
    </cdr:sp>
  </cdr:relSizeAnchor>
  <cdr:relSizeAnchor xmlns:cdr="http://schemas.openxmlformats.org/drawingml/2006/chartDrawing">
    <cdr:from>
      <cdr:x>0.4224</cdr:x>
      <cdr:y>0.41263</cdr:y>
    </cdr:from>
    <cdr:to>
      <cdr:x>0.5776</cdr:x>
      <cdr:y>0.58737</cdr:y>
    </cdr:to>
    <cdr:sp macro="" textlink="">
      <cdr:nvSpPr>
        <cdr:cNvPr id="6" name="CaixaDeTexto 5">
          <a:extLst xmlns:a="http://schemas.openxmlformats.org/drawingml/2006/main">
            <a:ext uri="{FF2B5EF4-FFF2-40B4-BE49-F238E27FC236}">
              <a16:creationId xmlns:a16="http://schemas.microsoft.com/office/drawing/2014/main" id="{819D0DBB-3020-4CFD-A62F-4B6103F5A719}"/>
            </a:ext>
          </a:extLst>
        </cdr:cNvPr>
        <cdr:cNvSpPr txBox="1"/>
      </cdr:nvSpPr>
      <cdr:spPr>
        <a:xfrm xmlns:a="http://schemas.openxmlformats.org/drawingml/2006/main">
          <a:off x="2488703" y="2159373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pt-BR" sz="1100"/>
        </a:p>
      </cdr:txBody>
    </cdr:sp>
  </cdr:relSizeAnchor>
  <cdr:relSizeAnchor xmlns:cdr="http://schemas.openxmlformats.org/drawingml/2006/chartDrawing">
    <cdr:from>
      <cdr:x>0.28878</cdr:x>
      <cdr:y>0.97062</cdr:y>
    </cdr:from>
    <cdr:to>
      <cdr:x>0.33907</cdr:x>
      <cdr:y>0.97935</cdr:y>
    </cdr:to>
    <cdr:sp macro="" textlink="">
      <cdr:nvSpPr>
        <cdr:cNvPr id="7" name="CaixaDeTexto 6">
          <a:extLst xmlns:a="http://schemas.openxmlformats.org/drawingml/2006/main">
            <a:ext uri="{FF2B5EF4-FFF2-40B4-BE49-F238E27FC236}">
              <a16:creationId xmlns:a16="http://schemas.microsoft.com/office/drawing/2014/main" id="{7C24C002-6564-477E-8566-4F7B77AC125E}"/>
            </a:ext>
          </a:extLst>
        </cdr:cNvPr>
        <cdr:cNvSpPr txBox="1"/>
      </cdr:nvSpPr>
      <cdr:spPr>
        <a:xfrm xmlns:a="http://schemas.openxmlformats.org/drawingml/2006/main">
          <a:off x="1701427" y="5079378"/>
          <a:ext cx="296334" cy="45719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pt-BR" sz="1100"/>
        </a:p>
      </cdr:txBody>
    </cdr:sp>
  </cdr:relSizeAnchor>
</c:userShapes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0.38189</cdr:x>
      <cdr:y>0.03068</cdr:y>
    </cdr:from>
    <cdr:to>
      <cdr:x>0.59055</cdr:x>
      <cdr:y>0.09246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2173941" y="161366"/>
          <a:ext cx="1187823" cy="32497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pt-BR" sz="1600" b="1"/>
            <a:t>Lucro Bruto</a:t>
          </a:r>
        </a:p>
      </cdr:txBody>
    </cdr:sp>
  </cdr:relSizeAnchor>
</c:userShapes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0.3559</cdr:x>
      <cdr:y>0.02233</cdr:y>
    </cdr:from>
    <cdr:to>
      <cdr:x>0.64797</cdr:x>
      <cdr:y>0.09304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2061885" y="134470"/>
          <a:ext cx="1692088" cy="425823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pt-BR" sz="1600" b="1"/>
            <a:t>Perdas &amp; Lucros</a:t>
          </a:r>
        </a:p>
      </cdr:txBody>
    </cdr:sp>
  </cdr:relSizeAnchor>
</c:userShapes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95249</xdr:colOff>
      <xdr:row>4</xdr:row>
      <xdr:rowOff>0</xdr:rowOff>
    </xdr:from>
    <xdr:to>
      <xdr:col>26</xdr:col>
      <xdr:colOff>19050</xdr:colOff>
      <xdr:row>24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19050</xdr:colOff>
      <xdr:row>43</xdr:row>
      <xdr:rowOff>47624</xdr:rowOff>
    </xdr:from>
    <xdr:to>
      <xdr:col>25</xdr:col>
      <xdr:colOff>590550</xdr:colOff>
      <xdr:row>68</xdr:row>
      <xdr:rowOff>114300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15</xdr:col>
      <xdr:colOff>133350</xdr:colOff>
      <xdr:row>25</xdr:row>
      <xdr:rowOff>76200</xdr:rowOff>
    </xdr:from>
    <xdr:to>
      <xdr:col>26</xdr:col>
      <xdr:colOff>57150</xdr:colOff>
      <xdr:row>41</xdr:row>
      <xdr:rowOff>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15</xdr:col>
      <xdr:colOff>47625</xdr:colOff>
      <xdr:row>71</xdr:row>
      <xdr:rowOff>57149</xdr:rowOff>
    </xdr:from>
    <xdr:to>
      <xdr:col>26</xdr:col>
      <xdr:colOff>9525</xdr:colOff>
      <xdr:row>96</xdr:row>
      <xdr:rowOff>9524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14</xdr:col>
      <xdr:colOff>581024</xdr:colOff>
      <xdr:row>98</xdr:row>
      <xdr:rowOff>19050</xdr:rowOff>
    </xdr:from>
    <xdr:to>
      <xdr:col>25</xdr:col>
      <xdr:colOff>571499</xdr:colOff>
      <xdr:row>125</xdr:row>
      <xdr:rowOff>85725</xdr:rowOff>
    </xdr:to>
    <xdr:graphicFrame macro="">
      <xdr:nvGraphicFramePr>
        <xdr:cNvPr id="6" name="Chart 7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0.27737</cdr:x>
      <cdr:y>0.03021</cdr:y>
    </cdr:from>
    <cdr:to>
      <cdr:x>0.71679</cdr:x>
      <cdr:y>0.0997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1809751" y="190500"/>
          <a:ext cx="2867025" cy="43815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pt-BR" sz="1400" b="1"/>
            <a:t>% Receita por Área / Receita Total</a:t>
          </a:r>
        </a:p>
      </cdr:txBody>
    </cdr:sp>
  </cdr:relSizeAnchor>
</c:userShapes>
</file>

<file path=xl/drawings/drawing7.xml><?xml version="1.0" encoding="utf-8"?>
<c:userShapes xmlns:c="http://schemas.openxmlformats.org/drawingml/2006/chart">
  <cdr:relSizeAnchor xmlns:cdr="http://schemas.openxmlformats.org/drawingml/2006/chartDrawing">
    <cdr:from>
      <cdr:x>0.33143</cdr:x>
      <cdr:y>0.02761</cdr:y>
    </cdr:from>
    <cdr:to>
      <cdr:x>0.67286</cdr:x>
      <cdr:y>0.1144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2209800" y="133351"/>
          <a:ext cx="2276475" cy="4191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pt-BR" sz="1600" b="1"/>
            <a:t>Componentes dos CMV</a:t>
          </a:r>
        </a:p>
      </cdr:txBody>
    </cdr:sp>
  </cdr:relSizeAnchor>
</c:userShapes>
</file>

<file path=xl/drawings/drawing8.xml><?xml version="1.0" encoding="utf-8"?>
<c:userShapes xmlns:c="http://schemas.openxmlformats.org/drawingml/2006/chart">
  <cdr:relSizeAnchor xmlns:cdr="http://schemas.openxmlformats.org/drawingml/2006/chartDrawing">
    <cdr:from>
      <cdr:x>0.37787</cdr:x>
      <cdr:y>0.04242</cdr:y>
    </cdr:from>
    <cdr:to>
      <cdr:x>0.61925</cdr:x>
      <cdr:y>0.1303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2505076" y="133350"/>
          <a:ext cx="1600200" cy="27622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pt-BR" sz="1400" b="1"/>
            <a:t>Vendas</a:t>
          </a:r>
          <a:r>
            <a:rPr lang="pt-BR" sz="1400" b="1" baseline="0"/>
            <a:t> por Canais</a:t>
          </a:r>
          <a:endParaRPr lang="pt-BR" sz="1400" b="1"/>
        </a:p>
      </cdr:txBody>
    </cdr:sp>
  </cdr:relSizeAnchor>
</c:userShapes>
</file>

<file path=xl/drawings/drawing9.xml><?xml version="1.0" encoding="utf-8"?>
<c:userShapes xmlns:c="http://schemas.openxmlformats.org/drawingml/2006/chart">
  <cdr:relSizeAnchor xmlns:cdr="http://schemas.openxmlformats.org/drawingml/2006/chartDrawing">
    <cdr:from>
      <cdr:x>0.39143</cdr:x>
      <cdr:y>0.05455</cdr:y>
    </cdr:from>
    <cdr:to>
      <cdr:x>0.62286</cdr:x>
      <cdr:y>0.12525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2609850" y="257176"/>
          <a:ext cx="1543050" cy="33337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pt-BR" sz="1400" b="1"/>
            <a:t>Lucro por familia</a:t>
          </a:r>
        </a:p>
      </cdr:txBody>
    </cdr:sp>
  </cdr:relSizeAnchor>
</c:userShapes>
</file>

<file path=xl/drawings/drawing10.xml><?xml version="1.0" encoding="utf-8"?>
<c:userShapes xmlns:c="http://schemas.openxmlformats.org/drawingml/2006/chart">
  <cdr:relSizeAnchor xmlns:cdr="http://schemas.openxmlformats.org/drawingml/2006/chartDrawing">
    <cdr:from>
      <cdr:x>0.33997</cdr:x>
      <cdr:y>0.02367</cdr:y>
    </cdr:from>
    <cdr:to>
      <cdr:x>0.63585</cdr:x>
      <cdr:y>0.13018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2276477" y="114300"/>
          <a:ext cx="1981200" cy="51435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pt-BR" sz="1600" b="1"/>
            <a:t>Estoques por Família</a:t>
          </a:r>
        </a:p>
      </cdr:txBody>
    </cdr:sp>
  </cdr:relSizeAnchor>
</c:userShapes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9524</xdr:colOff>
      <xdr:row>20</xdr:row>
      <xdr:rowOff>28575</xdr:rowOff>
    </xdr:from>
    <xdr:to>
      <xdr:col>14</xdr:col>
      <xdr:colOff>647699</xdr:colOff>
      <xdr:row>34</xdr:row>
      <xdr:rowOff>104775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38099</xdr:colOff>
      <xdr:row>36</xdr:row>
      <xdr:rowOff>19050</xdr:rowOff>
    </xdr:from>
    <xdr:to>
      <xdr:col>14</xdr:col>
      <xdr:colOff>638174</xdr:colOff>
      <xdr:row>50</xdr:row>
      <xdr:rowOff>95250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38100</xdr:colOff>
      <xdr:row>52</xdr:row>
      <xdr:rowOff>47625</xdr:rowOff>
    </xdr:from>
    <xdr:to>
      <xdr:col>14</xdr:col>
      <xdr:colOff>647700</xdr:colOff>
      <xdr:row>66</xdr:row>
      <xdr:rowOff>123825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</xdr:col>
      <xdr:colOff>38099</xdr:colOff>
      <xdr:row>68</xdr:row>
      <xdr:rowOff>76200</xdr:rowOff>
    </xdr:from>
    <xdr:to>
      <xdr:col>14</xdr:col>
      <xdr:colOff>657224</xdr:colOff>
      <xdr:row>82</xdr:row>
      <xdr:rowOff>152400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4</xdr:col>
      <xdr:colOff>38100</xdr:colOff>
      <xdr:row>119</xdr:row>
      <xdr:rowOff>14287</xdr:rowOff>
    </xdr:from>
    <xdr:to>
      <xdr:col>15</xdr:col>
      <xdr:colOff>1057274</xdr:colOff>
      <xdr:row>140</xdr:row>
      <xdr:rowOff>47625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54884CC4-E4D4-43E4-9FAD-5AC74761241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11205</xdr:colOff>
      <xdr:row>172</xdr:row>
      <xdr:rowOff>1120</xdr:rowOff>
    </xdr:from>
    <xdr:to>
      <xdr:col>13</xdr:col>
      <xdr:colOff>33616</xdr:colOff>
      <xdr:row>186</xdr:row>
      <xdr:rowOff>77320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D5E0EED-0DE8-4BCB-B0C9-039CB43D892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P299"/>
  <sheetViews>
    <sheetView topLeftCell="A121" zoomScale="90" zoomScaleNormal="90" workbookViewId="0">
      <selection activeCell="D154" sqref="D154:O155"/>
    </sheetView>
  </sheetViews>
  <sheetFormatPr defaultRowHeight="15" x14ac:dyDescent="0.25"/>
  <cols>
    <col min="1" max="1" width="2.28515625" customWidth="1"/>
    <col min="2" max="2" width="2.5703125" customWidth="1"/>
    <col min="3" max="3" width="41" customWidth="1"/>
    <col min="4" max="4" width="17" style="8" bestFit="1" customWidth="1"/>
    <col min="5" max="5" width="17" bestFit="1" customWidth="1"/>
    <col min="6" max="15" width="16.7109375" bestFit="1" customWidth="1"/>
  </cols>
  <sheetData>
    <row r="2" spans="3:15" ht="15.75" thickBot="1" x14ac:dyDescent="0.3"/>
    <row r="3" spans="3:15" ht="21" x14ac:dyDescent="0.35">
      <c r="C3" s="165" t="s">
        <v>0</v>
      </c>
      <c r="D3" s="166"/>
      <c r="E3" s="166"/>
      <c r="F3" s="166"/>
      <c r="G3" s="166"/>
      <c r="H3" s="166"/>
      <c r="I3" s="166"/>
      <c r="J3" s="166"/>
      <c r="K3" s="166"/>
      <c r="L3" s="166"/>
      <c r="M3" s="166"/>
      <c r="N3" s="166"/>
      <c r="O3" s="167"/>
    </row>
    <row r="5" spans="3:15" ht="15.75" thickBot="1" x14ac:dyDescent="0.3">
      <c r="C5" s="3" t="s">
        <v>1</v>
      </c>
      <c r="D5" s="9" t="s">
        <v>2</v>
      </c>
      <c r="E5" s="3" t="s">
        <v>3</v>
      </c>
      <c r="F5" s="3" t="s">
        <v>4</v>
      </c>
      <c r="G5" s="3" t="s">
        <v>5</v>
      </c>
      <c r="H5" s="3" t="s">
        <v>6</v>
      </c>
      <c r="I5" s="3" t="s">
        <v>7</v>
      </c>
      <c r="J5" s="3" t="s">
        <v>8</v>
      </c>
      <c r="K5" s="3" t="s">
        <v>9</v>
      </c>
      <c r="L5" s="3" t="s">
        <v>10</v>
      </c>
      <c r="M5" s="3" t="s">
        <v>11</v>
      </c>
      <c r="N5" s="3" t="s">
        <v>12</v>
      </c>
      <c r="O5" s="3" t="s">
        <v>13</v>
      </c>
    </row>
    <row r="6" spans="3:15" x14ac:dyDescent="0.25">
      <c r="E6" s="8"/>
      <c r="F6" s="8"/>
      <c r="G6" s="8"/>
      <c r="H6" s="8"/>
      <c r="I6" s="8"/>
      <c r="J6" s="8"/>
      <c r="K6" s="8"/>
      <c r="L6" s="8"/>
      <c r="M6" s="8"/>
      <c r="N6" s="8"/>
      <c r="O6" s="8"/>
    </row>
    <row r="7" spans="3:15" x14ac:dyDescent="0.25">
      <c r="C7" s="115" t="s">
        <v>14</v>
      </c>
      <c r="D7" s="10">
        <f>D9</f>
        <v>550000</v>
      </c>
      <c r="E7" s="10">
        <f>E9</f>
        <v>580000</v>
      </c>
      <c r="F7" s="10">
        <f t="shared" ref="F7:O7" si="0">F9</f>
        <v>620000</v>
      </c>
      <c r="G7" s="10">
        <f t="shared" si="0"/>
        <v>660000</v>
      </c>
      <c r="H7" s="10">
        <f t="shared" si="0"/>
        <v>700000</v>
      </c>
      <c r="I7" s="10">
        <f t="shared" si="0"/>
        <v>730000</v>
      </c>
      <c r="J7" s="10">
        <f t="shared" si="0"/>
        <v>760000</v>
      </c>
      <c r="K7" s="10">
        <f t="shared" si="0"/>
        <v>790000</v>
      </c>
      <c r="L7" s="10">
        <f t="shared" si="0"/>
        <v>820000</v>
      </c>
      <c r="M7" s="10">
        <f t="shared" si="0"/>
        <v>870000</v>
      </c>
      <c r="N7" s="10">
        <f t="shared" si="0"/>
        <v>950000</v>
      </c>
      <c r="O7" s="10">
        <f t="shared" si="0"/>
        <v>1080000</v>
      </c>
    </row>
    <row r="8" spans="3:15" x14ac:dyDescent="0.25">
      <c r="C8" s="116" t="s">
        <v>155</v>
      </c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spans="3:15" x14ac:dyDescent="0.25">
      <c r="C9" s="114" t="s">
        <v>15</v>
      </c>
      <c r="D9" s="11">
        <f>SUM(D10:D19)</f>
        <v>550000</v>
      </c>
      <c r="E9" s="11">
        <f t="shared" ref="E9:O9" si="1">SUM(E10:E19)</f>
        <v>580000</v>
      </c>
      <c r="F9" s="11">
        <f t="shared" si="1"/>
        <v>620000</v>
      </c>
      <c r="G9" s="11">
        <f t="shared" si="1"/>
        <v>660000</v>
      </c>
      <c r="H9" s="11">
        <f t="shared" si="1"/>
        <v>700000</v>
      </c>
      <c r="I9" s="11">
        <f t="shared" si="1"/>
        <v>730000</v>
      </c>
      <c r="J9" s="11">
        <f t="shared" si="1"/>
        <v>760000</v>
      </c>
      <c r="K9" s="11">
        <f t="shared" si="1"/>
        <v>790000</v>
      </c>
      <c r="L9" s="11">
        <f t="shared" si="1"/>
        <v>820000</v>
      </c>
      <c r="M9" s="11">
        <f t="shared" si="1"/>
        <v>870000</v>
      </c>
      <c r="N9" s="11">
        <f t="shared" si="1"/>
        <v>950000</v>
      </c>
      <c r="O9" s="11">
        <f t="shared" si="1"/>
        <v>1080000</v>
      </c>
    </row>
    <row r="10" spans="3:15" x14ac:dyDescent="0.25">
      <c r="C10" s="1" t="s">
        <v>16</v>
      </c>
      <c r="D10" s="14">
        <v>70000</v>
      </c>
      <c r="E10" s="14">
        <v>75000</v>
      </c>
      <c r="F10" s="14">
        <v>80000</v>
      </c>
      <c r="G10" s="14">
        <v>85000</v>
      </c>
      <c r="H10" s="14">
        <v>90000</v>
      </c>
      <c r="I10" s="14">
        <v>95000</v>
      </c>
      <c r="J10" s="14">
        <v>100000</v>
      </c>
      <c r="K10" s="14">
        <v>105000</v>
      </c>
      <c r="L10" s="14">
        <v>110000</v>
      </c>
      <c r="M10" s="14">
        <v>120000</v>
      </c>
      <c r="N10" s="14">
        <v>130000</v>
      </c>
      <c r="O10" s="14">
        <v>150000</v>
      </c>
    </row>
    <row r="11" spans="3:15" x14ac:dyDescent="0.25">
      <c r="C11" s="1" t="s">
        <v>17</v>
      </c>
      <c r="D11" s="14">
        <v>80000</v>
      </c>
      <c r="E11" s="14">
        <v>85000</v>
      </c>
      <c r="F11" s="14">
        <v>90000</v>
      </c>
      <c r="G11" s="14">
        <v>95000</v>
      </c>
      <c r="H11" s="14">
        <v>100000</v>
      </c>
      <c r="I11" s="14">
        <v>105000</v>
      </c>
      <c r="J11" s="14">
        <v>110000</v>
      </c>
      <c r="K11" s="14">
        <v>115000</v>
      </c>
      <c r="L11" s="14">
        <v>120000</v>
      </c>
      <c r="M11" s="14">
        <v>130000</v>
      </c>
      <c r="N11" s="14">
        <v>140000</v>
      </c>
      <c r="O11" s="14">
        <v>160000</v>
      </c>
    </row>
    <row r="12" spans="3:15" x14ac:dyDescent="0.25">
      <c r="C12" s="1" t="s">
        <v>18</v>
      </c>
      <c r="D12" s="14">
        <v>120000</v>
      </c>
      <c r="E12" s="14">
        <v>125000</v>
      </c>
      <c r="F12" s="14">
        <v>130000</v>
      </c>
      <c r="G12" s="14">
        <v>140000</v>
      </c>
      <c r="H12" s="14">
        <v>150000</v>
      </c>
      <c r="I12" s="14">
        <v>155000</v>
      </c>
      <c r="J12" s="14">
        <v>160000</v>
      </c>
      <c r="K12" s="14">
        <v>165000</v>
      </c>
      <c r="L12" s="14">
        <v>170000</v>
      </c>
      <c r="M12" s="14">
        <v>180000</v>
      </c>
      <c r="N12" s="14">
        <v>200000</v>
      </c>
      <c r="O12" s="14">
        <v>220000</v>
      </c>
    </row>
    <row r="13" spans="3:15" x14ac:dyDescent="0.25">
      <c r="C13" s="1" t="s">
        <v>19</v>
      </c>
      <c r="D13" s="14">
        <v>180000</v>
      </c>
      <c r="E13" s="14">
        <v>190000</v>
      </c>
      <c r="F13" s="14">
        <v>210000</v>
      </c>
      <c r="G13" s="14">
        <v>220000</v>
      </c>
      <c r="H13" s="14">
        <v>230000</v>
      </c>
      <c r="I13" s="14">
        <v>240000</v>
      </c>
      <c r="J13" s="14">
        <v>250000</v>
      </c>
      <c r="K13" s="14">
        <v>260000</v>
      </c>
      <c r="L13" s="14">
        <v>270000</v>
      </c>
      <c r="M13" s="14">
        <v>280000</v>
      </c>
      <c r="N13" s="14">
        <v>300000</v>
      </c>
      <c r="O13" s="14">
        <v>350000</v>
      </c>
    </row>
    <row r="14" spans="3:15" x14ac:dyDescent="0.25">
      <c r="C14" s="1" t="s">
        <v>20</v>
      </c>
      <c r="D14" s="14">
        <v>100000</v>
      </c>
      <c r="E14" s="14">
        <v>105000</v>
      </c>
      <c r="F14" s="14">
        <v>110000</v>
      </c>
      <c r="G14" s="14">
        <v>120000</v>
      </c>
      <c r="H14" s="14">
        <v>130000</v>
      </c>
      <c r="I14" s="14">
        <v>135000</v>
      </c>
      <c r="J14" s="14">
        <v>140000</v>
      </c>
      <c r="K14" s="14">
        <v>145000</v>
      </c>
      <c r="L14" s="14">
        <v>150000</v>
      </c>
      <c r="M14" s="14">
        <v>160000</v>
      </c>
      <c r="N14" s="14">
        <v>180000</v>
      </c>
      <c r="O14" s="14">
        <v>200000</v>
      </c>
    </row>
    <row r="15" spans="3:15" x14ac:dyDescent="0.25">
      <c r="C15" s="1"/>
      <c r="D15" s="14"/>
      <c r="E15" s="14"/>
      <c r="F15" s="14"/>
      <c r="G15" s="14"/>
      <c r="H15" s="14"/>
      <c r="I15" s="14"/>
      <c r="J15" s="14"/>
      <c r="K15" s="14"/>
      <c r="L15" s="14"/>
      <c r="M15" s="14"/>
      <c r="N15" s="14"/>
      <c r="O15" s="14"/>
    </row>
    <row r="16" spans="3:15" x14ac:dyDescent="0.25">
      <c r="C16" s="1"/>
      <c r="D16" s="14"/>
      <c r="E16" s="14"/>
      <c r="F16" s="14"/>
      <c r="G16" s="14"/>
      <c r="H16" s="14"/>
      <c r="I16" s="14"/>
      <c r="J16" s="14"/>
      <c r="K16" s="14"/>
      <c r="L16" s="14"/>
      <c r="M16" s="14"/>
      <c r="N16" s="14"/>
      <c r="O16" s="14"/>
    </row>
    <row r="17" spans="3:15" x14ac:dyDescent="0.25">
      <c r="C17" s="1"/>
      <c r="D17" s="14"/>
      <c r="E17" s="14"/>
      <c r="F17" s="14"/>
      <c r="G17" s="14"/>
      <c r="H17" s="14"/>
      <c r="I17" s="14"/>
      <c r="J17" s="14"/>
      <c r="K17" s="14"/>
      <c r="L17" s="14"/>
      <c r="M17" s="14"/>
      <c r="N17" s="14"/>
      <c r="O17" s="14"/>
    </row>
    <row r="18" spans="3:15" x14ac:dyDescent="0.25">
      <c r="C18" s="1"/>
      <c r="D18" s="14"/>
      <c r="E18" s="14"/>
      <c r="F18" s="14"/>
      <c r="G18" s="14"/>
      <c r="H18" s="14"/>
      <c r="I18" s="14"/>
      <c r="J18" s="14"/>
      <c r="K18" s="14"/>
      <c r="L18" s="14"/>
      <c r="M18" s="14"/>
      <c r="N18" s="14"/>
      <c r="O18" s="14"/>
    </row>
    <row r="19" spans="3:15" x14ac:dyDescent="0.25">
      <c r="C19" s="1"/>
      <c r="D19" s="14"/>
      <c r="E19" s="14"/>
      <c r="F19" s="14"/>
      <c r="G19" s="14"/>
      <c r="H19" s="14"/>
      <c r="I19" s="14"/>
      <c r="J19" s="14"/>
      <c r="K19" s="14"/>
      <c r="L19" s="14"/>
      <c r="M19" s="14"/>
      <c r="N19" s="14"/>
      <c r="O19" s="14"/>
    </row>
    <row r="20" spans="3:15" ht="15.75" thickBot="1" x14ac:dyDescent="0.3">
      <c r="C20" s="1"/>
      <c r="D20" s="9" t="s">
        <v>2</v>
      </c>
      <c r="E20" s="3" t="s">
        <v>3</v>
      </c>
      <c r="F20" s="3" t="s">
        <v>4</v>
      </c>
      <c r="G20" s="3" t="s">
        <v>5</v>
      </c>
      <c r="H20" s="3" t="s">
        <v>6</v>
      </c>
      <c r="I20" s="3" t="s">
        <v>7</v>
      </c>
      <c r="J20" s="3" t="s">
        <v>8</v>
      </c>
      <c r="K20" s="3" t="s">
        <v>9</v>
      </c>
      <c r="L20" s="3" t="s">
        <v>10</v>
      </c>
      <c r="M20" s="3" t="s">
        <v>11</v>
      </c>
      <c r="N20" s="3" t="s">
        <v>12</v>
      </c>
      <c r="O20" s="3" t="s">
        <v>13</v>
      </c>
    </row>
    <row r="21" spans="3:15" x14ac:dyDescent="0.25">
      <c r="C21" s="114" t="s">
        <v>21</v>
      </c>
      <c r="D21" s="11">
        <f>SUM(D22:D24)</f>
        <v>550000</v>
      </c>
      <c r="E21" s="11">
        <f t="shared" ref="E21:O21" si="2">SUM(E22:E24)</f>
        <v>580000</v>
      </c>
      <c r="F21" s="11">
        <f t="shared" si="2"/>
        <v>620000</v>
      </c>
      <c r="G21" s="11">
        <f t="shared" si="2"/>
        <v>660000</v>
      </c>
      <c r="H21" s="11">
        <f t="shared" si="2"/>
        <v>700000</v>
      </c>
      <c r="I21" s="11">
        <f t="shared" si="2"/>
        <v>730000</v>
      </c>
      <c r="J21" s="11">
        <f t="shared" si="2"/>
        <v>760000</v>
      </c>
      <c r="K21" s="11">
        <f t="shared" si="2"/>
        <v>790000</v>
      </c>
      <c r="L21" s="11">
        <f t="shared" si="2"/>
        <v>820000</v>
      </c>
      <c r="M21" s="11">
        <f t="shared" si="2"/>
        <v>870000</v>
      </c>
      <c r="N21" s="11">
        <f t="shared" si="2"/>
        <v>950000</v>
      </c>
      <c r="O21" s="11">
        <f t="shared" si="2"/>
        <v>1080000</v>
      </c>
    </row>
    <row r="22" spans="3:15" x14ac:dyDescent="0.25">
      <c r="C22" s="1" t="s">
        <v>22</v>
      </c>
      <c r="D22" s="14">
        <v>275000</v>
      </c>
      <c r="E22" s="14">
        <v>290000</v>
      </c>
      <c r="F22" s="14">
        <v>310000</v>
      </c>
      <c r="G22" s="14">
        <v>330000</v>
      </c>
      <c r="H22" s="14">
        <v>350000</v>
      </c>
      <c r="I22" s="14">
        <v>365000</v>
      </c>
      <c r="J22" s="14">
        <v>380000</v>
      </c>
      <c r="K22" s="14">
        <v>395000</v>
      </c>
      <c r="L22" s="14">
        <v>410000</v>
      </c>
      <c r="M22" s="14">
        <v>435000</v>
      </c>
      <c r="N22" s="14">
        <v>475000</v>
      </c>
      <c r="O22" s="14">
        <v>540000</v>
      </c>
    </row>
    <row r="23" spans="3:15" x14ac:dyDescent="0.25">
      <c r="C23" s="1" t="s">
        <v>23</v>
      </c>
      <c r="D23" s="14">
        <v>165000</v>
      </c>
      <c r="E23" s="14">
        <v>174000</v>
      </c>
      <c r="F23" s="14">
        <v>186000</v>
      </c>
      <c r="G23" s="14">
        <v>198000</v>
      </c>
      <c r="H23" s="14">
        <v>210000</v>
      </c>
      <c r="I23" s="14">
        <v>219000</v>
      </c>
      <c r="J23" s="14">
        <v>228000</v>
      </c>
      <c r="K23" s="14">
        <v>237000</v>
      </c>
      <c r="L23" s="14">
        <v>246000</v>
      </c>
      <c r="M23" s="14">
        <v>261000</v>
      </c>
      <c r="N23" s="14">
        <v>285000</v>
      </c>
      <c r="O23" s="14">
        <v>324000</v>
      </c>
    </row>
    <row r="24" spans="3:15" x14ac:dyDescent="0.25">
      <c r="C24" s="1" t="s">
        <v>24</v>
      </c>
      <c r="D24" s="14">
        <v>110000</v>
      </c>
      <c r="E24" s="14">
        <v>116000</v>
      </c>
      <c r="F24" s="14">
        <v>124000</v>
      </c>
      <c r="G24" s="14">
        <v>132000</v>
      </c>
      <c r="H24" s="14">
        <v>140000</v>
      </c>
      <c r="I24" s="14">
        <v>146000</v>
      </c>
      <c r="J24" s="14">
        <v>152000</v>
      </c>
      <c r="K24" s="14">
        <v>158000</v>
      </c>
      <c r="L24" s="14">
        <v>164000</v>
      </c>
      <c r="M24" s="14">
        <v>174000</v>
      </c>
      <c r="N24" s="14">
        <v>190000</v>
      </c>
      <c r="O24" s="14">
        <v>216000</v>
      </c>
    </row>
    <row r="25" spans="3:15" x14ac:dyDescent="0.25"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spans="3:15" x14ac:dyDescent="0.25">
      <c r="C26" s="114" t="s">
        <v>25</v>
      </c>
      <c r="D26" s="11">
        <f t="shared" ref="D26:O26" si="3">SUM(D27:D31)</f>
        <v>550000</v>
      </c>
      <c r="E26" s="11">
        <f t="shared" si="3"/>
        <v>580000</v>
      </c>
      <c r="F26" s="11">
        <f t="shared" si="3"/>
        <v>620000</v>
      </c>
      <c r="G26" s="11">
        <f t="shared" si="3"/>
        <v>660000</v>
      </c>
      <c r="H26" s="11">
        <f t="shared" si="3"/>
        <v>700000</v>
      </c>
      <c r="I26" s="11">
        <f t="shared" si="3"/>
        <v>730000</v>
      </c>
      <c r="J26" s="11">
        <f t="shared" si="3"/>
        <v>760000</v>
      </c>
      <c r="K26" s="11">
        <f t="shared" si="3"/>
        <v>790000</v>
      </c>
      <c r="L26" s="11">
        <f t="shared" si="3"/>
        <v>820000</v>
      </c>
      <c r="M26" s="11">
        <f t="shared" si="3"/>
        <v>870000</v>
      </c>
      <c r="N26" s="11">
        <f t="shared" si="3"/>
        <v>950000</v>
      </c>
      <c r="O26" s="11">
        <f t="shared" si="3"/>
        <v>1080000</v>
      </c>
    </row>
    <row r="27" spans="3:15" x14ac:dyDescent="0.25">
      <c r="C27" s="1" t="s">
        <v>130</v>
      </c>
      <c r="D27" s="14">
        <v>165000</v>
      </c>
      <c r="E27" s="14">
        <v>174000</v>
      </c>
      <c r="F27" s="14">
        <v>186000</v>
      </c>
      <c r="G27" s="14">
        <v>198000</v>
      </c>
      <c r="H27" s="14">
        <v>210000</v>
      </c>
      <c r="I27" s="14">
        <v>219000</v>
      </c>
      <c r="J27" s="14">
        <v>228000</v>
      </c>
      <c r="K27" s="14">
        <v>237000</v>
      </c>
      <c r="L27" s="14">
        <v>246000</v>
      </c>
      <c r="M27" s="14">
        <v>261000</v>
      </c>
      <c r="N27" s="14">
        <v>285000</v>
      </c>
      <c r="O27" s="14">
        <v>324000</v>
      </c>
    </row>
    <row r="28" spans="3:15" x14ac:dyDescent="0.25">
      <c r="C28" s="1" t="s">
        <v>131</v>
      </c>
      <c r="D28" s="14">
        <v>137500</v>
      </c>
      <c r="E28" s="14">
        <v>145000</v>
      </c>
      <c r="F28" s="14">
        <v>155000</v>
      </c>
      <c r="G28" s="14">
        <v>165000</v>
      </c>
      <c r="H28" s="14">
        <v>175000</v>
      </c>
      <c r="I28" s="14">
        <v>182500</v>
      </c>
      <c r="J28" s="14">
        <v>190000</v>
      </c>
      <c r="K28" s="14">
        <v>197500</v>
      </c>
      <c r="L28" s="14">
        <v>205000</v>
      </c>
      <c r="M28" s="14">
        <v>217500</v>
      </c>
      <c r="N28" s="14">
        <v>237500</v>
      </c>
      <c r="O28" s="14">
        <v>270000</v>
      </c>
    </row>
    <row r="29" spans="3:15" x14ac:dyDescent="0.25">
      <c r="C29" s="1" t="s">
        <v>132</v>
      </c>
      <c r="D29" s="14">
        <v>137500</v>
      </c>
      <c r="E29" s="14">
        <v>145000</v>
      </c>
      <c r="F29" s="14">
        <v>155000</v>
      </c>
      <c r="G29" s="14">
        <v>165000</v>
      </c>
      <c r="H29" s="14">
        <v>175000</v>
      </c>
      <c r="I29" s="14">
        <v>182500</v>
      </c>
      <c r="J29" s="14">
        <v>190000</v>
      </c>
      <c r="K29" s="14">
        <v>197500</v>
      </c>
      <c r="L29" s="14">
        <v>205000</v>
      </c>
      <c r="M29" s="14">
        <v>217500</v>
      </c>
      <c r="N29" s="14">
        <v>237500</v>
      </c>
      <c r="O29" s="14">
        <v>270000</v>
      </c>
    </row>
    <row r="30" spans="3:15" x14ac:dyDescent="0.25">
      <c r="C30" s="1" t="s">
        <v>133</v>
      </c>
      <c r="D30" s="14">
        <v>55000</v>
      </c>
      <c r="E30" s="14">
        <v>58000</v>
      </c>
      <c r="F30" s="14">
        <v>62000</v>
      </c>
      <c r="G30" s="14">
        <v>66000</v>
      </c>
      <c r="H30" s="14">
        <v>70000</v>
      </c>
      <c r="I30" s="14">
        <v>73000</v>
      </c>
      <c r="J30" s="14">
        <v>76000</v>
      </c>
      <c r="K30" s="14">
        <v>79000</v>
      </c>
      <c r="L30" s="14">
        <v>82000</v>
      </c>
      <c r="M30" s="14">
        <v>87000</v>
      </c>
      <c r="N30" s="14">
        <v>95000</v>
      </c>
      <c r="O30" s="14">
        <v>108000</v>
      </c>
    </row>
    <row r="31" spans="3:15" x14ac:dyDescent="0.25">
      <c r="C31" s="1" t="s">
        <v>134</v>
      </c>
      <c r="D31" s="14">
        <v>55000</v>
      </c>
      <c r="E31" s="14">
        <v>58000</v>
      </c>
      <c r="F31" s="14">
        <v>62000</v>
      </c>
      <c r="G31" s="14">
        <v>66000</v>
      </c>
      <c r="H31" s="14">
        <v>70000</v>
      </c>
      <c r="I31" s="14">
        <v>73000</v>
      </c>
      <c r="J31" s="14">
        <v>76000</v>
      </c>
      <c r="K31" s="14">
        <v>79000</v>
      </c>
      <c r="L31" s="14">
        <v>82000</v>
      </c>
      <c r="M31" s="14">
        <v>87000</v>
      </c>
      <c r="N31" s="14">
        <v>95000</v>
      </c>
      <c r="O31" s="14">
        <v>108000</v>
      </c>
    </row>
    <row r="32" spans="3:15" x14ac:dyDescent="0.25">
      <c r="C32" s="1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</row>
    <row r="33" spans="2:15" x14ac:dyDescent="0.25">
      <c r="C33" s="26" t="s">
        <v>26</v>
      </c>
      <c r="D33" s="27">
        <f>SUM(D34:D35)</f>
        <v>288794.27500000002</v>
      </c>
      <c r="E33" s="27">
        <f t="shared" ref="E33:O33" si="4">SUM(E34:E35)</f>
        <v>300257.3</v>
      </c>
      <c r="F33" s="27">
        <f t="shared" si="4"/>
        <v>316379.49</v>
      </c>
      <c r="G33" s="27">
        <f t="shared" si="4"/>
        <v>327028.8492</v>
      </c>
      <c r="H33" s="27">
        <f t="shared" si="4"/>
        <v>341672.1</v>
      </c>
      <c r="I33" s="27">
        <f t="shared" si="4"/>
        <v>350916.47499999998</v>
      </c>
      <c r="J33" s="27">
        <f t="shared" si="4"/>
        <v>359717.12</v>
      </c>
      <c r="K33" s="27">
        <f t="shared" si="4"/>
        <v>368074.62620000006</v>
      </c>
      <c r="L33" s="27">
        <f t="shared" si="4"/>
        <v>375987.25</v>
      </c>
      <c r="M33" s="27">
        <f t="shared" si="4"/>
        <v>392479.18500000006</v>
      </c>
      <c r="N33" s="27">
        <f t="shared" si="4"/>
        <v>421543.5</v>
      </c>
      <c r="O33" s="27">
        <f t="shared" si="4"/>
        <v>471242.64720000001</v>
      </c>
    </row>
    <row r="34" spans="2:15" x14ac:dyDescent="0.25">
      <c r="C34" s="1"/>
      <c r="D34" s="14"/>
      <c r="E34" s="14"/>
      <c r="F34" s="14"/>
      <c r="G34" s="14"/>
      <c r="H34" s="14"/>
      <c r="I34" s="14"/>
      <c r="J34" s="14"/>
      <c r="K34" s="14"/>
      <c r="L34" s="14"/>
      <c r="M34" s="14"/>
      <c r="N34" s="14"/>
      <c r="O34" s="14"/>
    </row>
    <row r="35" spans="2:15" x14ac:dyDescent="0.25">
      <c r="C35" s="115" t="s">
        <v>27</v>
      </c>
      <c r="D35" s="10">
        <f>D36</f>
        <v>288794.27500000002</v>
      </c>
      <c r="E35" s="10">
        <f t="shared" ref="E35:O35" si="5">E36</f>
        <v>300257.3</v>
      </c>
      <c r="F35" s="10">
        <f t="shared" si="5"/>
        <v>316379.49</v>
      </c>
      <c r="G35" s="10">
        <f t="shared" si="5"/>
        <v>327028.8492</v>
      </c>
      <c r="H35" s="10">
        <f t="shared" si="5"/>
        <v>341672.1</v>
      </c>
      <c r="I35" s="10">
        <f t="shared" si="5"/>
        <v>350916.47499999998</v>
      </c>
      <c r="J35" s="10">
        <f t="shared" si="5"/>
        <v>359717.12</v>
      </c>
      <c r="K35" s="10">
        <f t="shared" si="5"/>
        <v>368074.62620000006</v>
      </c>
      <c r="L35" s="10">
        <f t="shared" si="5"/>
        <v>375987.25</v>
      </c>
      <c r="M35" s="10">
        <f t="shared" si="5"/>
        <v>392479.18500000006</v>
      </c>
      <c r="N35" s="10">
        <f t="shared" si="5"/>
        <v>421543.5</v>
      </c>
      <c r="O35" s="10">
        <f t="shared" si="5"/>
        <v>471242.64720000001</v>
      </c>
    </row>
    <row r="36" spans="2:15" x14ac:dyDescent="0.25">
      <c r="C36" s="114" t="s">
        <v>28</v>
      </c>
      <c r="D36" s="11">
        <f>D37+D40+D43+D46+D49</f>
        <v>288794.27500000002</v>
      </c>
      <c r="E36" s="11">
        <f>E37+E40+E43+E46+E49</f>
        <v>300257.3</v>
      </c>
      <c r="F36" s="11">
        <f t="shared" ref="F36:O36" si="6">F37+F40+F43+F46+F49</f>
        <v>316379.49</v>
      </c>
      <c r="G36" s="11">
        <f t="shared" si="6"/>
        <v>327028.8492</v>
      </c>
      <c r="H36" s="11">
        <f t="shared" si="6"/>
        <v>341672.1</v>
      </c>
      <c r="I36" s="11">
        <f t="shared" si="6"/>
        <v>350916.47499999998</v>
      </c>
      <c r="J36" s="11">
        <f t="shared" si="6"/>
        <v>359717.12</v>
      </c>
      <c r="K36" s="11">
        <f t="shared" si="6"/>
        <v>368074.62620000006</v>
      </c>
      <c r="L36" s="11">
        <f t="shared" si="6"/>
        <v>375987.25</v>
      </c>
      <c r="M36" s="11">
        <f t="shared" si="6"/>
        <v>392479.18500000006</v>
      </c>
      <c r="N36" s="11">
        <f t="shared" si="6"/>
        <v>421543.5</v>
      </c>
      <c r="O36" s="11">
        <f t="shared" si="6"/>
        <v>471242.64720000001</v>
      </c>
    </row>
    <row r="37" spans="2:15" x14ac:dyDescent="0.25">
      <c r="C37" s="1" t="s">
        <v>130</v>
      </c>
      <c r="D37" s="12">
        <f>SUM(D38:D39)</f>
        <v>86638.282500000001</v>
      </c>
      <c r="E37" s="12">
        <f t="shared" ref="E37:O37" si="7">SUM(E38:E39)</f>
        <v>90077.19</v>
      </c>
      <c r="F37" s="12">
        <f t="shared" si="7"/>
        <v>94913.84699999998</v>
      </c>
      <c r="G37" s="12">
        <f t="shared" si="7"/>
        <v>98108.703000000009</v>
      </c>
      <c r="H37" s="12">
        <f t="shared" si="7"/>
        <v>102501.62999999999</v>
      </c>
      <c r="I37" s="12">
        <f t="shared" si="7"/>
        <v>105274.94249999999</v>
      </c>
      <c r="J37" s="12">
        <f t="shared" si="7"/>
        <v>107915.136</v>
      </c>
      <c r="K37" s="12">
        <f t="shared" si="7"/>
        <v>110422.2237</v>
      </c>
      <c r="L37" s="12">
        <f t="shared" si="7"/>
        <v>112796.196</v>
      </c>
      <c r="M37" s="12">
        <f t="shared" si="7"/>
        <v>117743.7555</v>
      </c>
      <c r="N37" s="12">
        <f t="shared" si="7"/>
        <v>126463.05</v>
      </c>
      <c r="O37" s="12">
        <f t="shared" si="7"/>
        <v>141372.378</v>
      </c>
    </row>
    <row r="38" spans="2:15" x14ac:dyDescent="0.25">
      <c r="C38" s="4" t="s">
        <v>136</v>
      </c>
      <c r="D38" s="29">
        <f>D55+D72+D89</f>
        <v>51982.969500000007</v>
      </c>
      <c r="E38" s="29">
        <f t="shared" ref="E38:O38" si="8">E55+E72+E89</f>
        <v>54046.313999999998</v>
      </c>
      <c r="F38" s="29">
        <f t="shared" si="8"/>
        <v>56948.308199999992</v>
      </c>
      <c r="G38" s="29">
        <f t="shared" si="8"/>
        <v>58865.221799999999</v>
      </c>
      <c r="H38" s="29">
        <f t="shared" si="8"/>
        <v>61500.977999999988</v>
      </c>
      <c r="I38" s="29">
        <f t="shared" si="8"/>
        <v>63164.965499999991</v>
      </c>
      <c r="J38" s="29">
        <f t="shared" si="8"/>
        <v>64749.081600000005</v>
      </c>
      <c r="K38" s="29">
        <f t="shared" si="8"/>
        <v>66253.326300000001</v>
      </c>
      <c r="L38" s="29">
        <f t="shared" si="8"/>
        <v>67677.699599999993</v>
      </c>
      <c r="M38" s="29">
        <f t="shared" si="8"/>
        <v>70646.253299999997</v>
      </c>
      <c r="N38" s="29">
        <f t="shared" si="8"/>
        <v>75877.83</v>
      </c>
      <c r="O38" s="29">
        <f t="shared" si="8"/>
        <v>84823.426800000001</v>
      </c>
    </row>
    <row r="39" spans="2:15" x14ac:dyDescent="0.25">
      <c r="C39" s="4" t="s">
        <v>135</v>
      </c>
      <c r="D39" s="28">
        <f>D56+D73+D90</f>
        <v>34655.313000000002</v>
      </c>
      <c r="E39" s="28">
        <f t="shared" ref="E39:O39" si="9">E56+E73+E90</f>
        <v>36030.876000000004</v>
      </c>
      <c r="F39" s="28">
        <f t="shared" si="9"/>
        <v>37965.538799999995</v>
      </c>
      <c r="G39" s="28">
        <f t="shared" si="9"/>
        <v>39243.481200000002</v>
      </c>
      <c r="H39" s="28">
        <f t="shared" si="9"/>
        <v>41000.652000000002</v>
      </c>
      <c r="I39" s="28">
        <f t="shared" si="9"/>
        <v>42109.976999999999</v>
      </c>
      <c r="J39" s="28">
        <f t="shared" si="9"/>
        <v>43166.054400000001</v>
      </c>
      <c r="K39" s="28">
        <f t="shared" si="9"/>
        <v>44168.897400000002</v>
      </c>
      <c r="L39" s="28">
        <f t="shared" si="9"/>
        <v>45118.496400000004</v>
      </c>
      <c r="M39" s="28">
        <f t="shared" si="9"/>
        <v>47097.502200000003</v>
      </c>
      <c r="N39" s="28">
        <f t="shared" si="9"/>
        <v>50585.22</v>
      </c>
      <c r="O39" s="28">
        <f t="shared" si="9"/>
        <v>56548.951200000003</v>
      </c>
    </row>
    <row r="40" spans="2:15" x14ac:dyDescent="0.25">
      <c r="B40" s="6"/>
      <c r="C40" s="1" t="s">
        <v>131</v>
      </c>
      <c r="D40" s="12">
        <f>SUM(D41:D42)</f>
        <v>72198.568750000006</v>
      </c>
      <c r="E40" s="12">
        <f t="shared" ref="E40:O40" si="10">SUM(E41:E42)</f>
        <v>75064.324999999997</v>
      </c>
      <c r="F40" s="12">
        <f t="shared" si="10"/>
        <v>79094.872499999998</v>
      </c>
      <c r="G40" s="12">
        <f t="shared" si="10"/>
        <v>81757.252500000002</v>
      </c>
      <c r="H40" s="12">
        <f t="shared" si="10"/>
        <v>85418.024999999994</v>
      </c>
      <c r="I40" s="12">
        <f t="shared" si="10"/>
        <v>87729.118749999994</v>
      </c>
      <c r="J40" s="12">
        <f t="shared" si="10"/>
        <v>89929.279999999999</v>
      </c>
      <c r="K40" s="12">
        <f t="shared" si="10"/>
        <v>92018.942249999993</v>
      </c>
      <c r="L40" s="12">
        <f t="shared" si="10"/>
        <v>93996.804999999993</v>
      </c>
      <c r="M40" s="12">
        <f t="shared" si="10"/>
        <v>98119.796249999999</v>
      </c>
      <c r="N40" s="12">
        <f t="shared" si="10"/>
        <v>105385.875</v>
      </c>
      <c r="O40" s="12">
        <f t="shared" si="10"/>
        <v>117810.315</v>
      </c>
    </row>
    <row r="41" spans="2:15" x14ac:dyDescent="0.25">
      <c r="C41" s="4" t="s">
        <v>137</v>
      </c>
      <c r="D41" s="29">
        <f>D58+D75+D92</f>
        <v>43319.141250000001</v>
      </c>
      <c r="E41" s="29">
        <f t="shared" ref="E41:O41" si="11">E58+E75+E92</f>
        <v>45038.595000000001</v>
      </c>
      <c r="F41" s="29">
        <f t="shared" si="11"/>
        <v>47456.923500000004</v>
      </c>
      <c r="G41" s="29">
        <f t="shared" si="11"/>
        <v>49054.351499999997</v>
      </c>
      <c r="H41" s="29">
        <f t="shared" si="11"/>
        <v>51250.815000000002</v>
      </c>
      <c r="I41" s="29">
        <f t="shared" si="11"/>
        <v>52637.471250000002</v>
      </c>
      <c r="J41" s="29">
        <f t="shared" si="11"/>
        <v>53957.567999999992</v>
      </c>
      <c r="K41" s="29">
        <f t="shared" si="11"/>
        <v>55211.538749999992</v>
      </c>
      <c r="L41" s="29">
        <f t="shared" si="11"/>
        <v>56398.082999999991</v>
      </c>
      <c r="M41" s="29">
        <f t="shared" si="11"/>
        <v>58871.87775</v>
      </c>
      <c r="N41" s="29">
        <f t="shared" si="11"/>
        <v>63231.525000000001</v>
      </c>
      <c r="O41" s="29">
        <f t="shared" si="11"/>
        <v>70686.188999999998</v>
      </c>
    </row>
    <row r="42" spans="2:15" x14ac:dyDescent="0.25">
      <c r="C42" s="4" t="s">
        <v>138</v>
      </c>
      <c r="D42" s="29">
        <f>D59+D76+D93</f>
        <v>28879.427499999998</v>
      </c>
      <c r="E42" s="29">
        <f t="shared" ref="E42:O42" si="12">E59+E76+E93</f>
        <v>30025.73</v>
      </c>
      <c r="F42" s="29">
        <f t="shared" si="12"/>
        <v>31637.948999999993</v>
      </c>
      <c r="G42" s="29">
        <f t="shared" si="12"/>
        <v>32702.901000000005</v>
      </c>
      <c r="H42" s="29">
        <f t="shared" si="12"/>
        <v>34167.21</v>
      </c>
      <c r="I42" s="29">
        <f t="shared" si="12"/>
        <v>35091.647499999999</v>
      </c>
      <c r="J42" s="29">
        <f t="shared" si="12"/>
        <v>35971.712</v>
      </c>
      <c r="K42" s="29">
        <f t="shared" si="12"/>
        <v>36807.4035</v>
      </c>
      <c r="L42" s="29">
        <f t="shared" si="12"/>
        <v>37598.721999999994</v>
      </c>
      <c r="M42" s="29">
        <f t="shared" si="12"/>
        <v>39247.9185</v>
      </c>
      <c r="N42" s="29">
        <f t="shared" si="12"/>
        <v>42154.35</v>
      </c>
      <c r="O42" s="29">
        <f t="shared" si="12"/>
        <v>47124.126000000004</v>
      </c>
    </row>
    <row r="43" spans="2:15" x14ac:dyDescent="0.25">
      <c r="C43" s="1" t="s">
        <v>132</v>
      </c>
      <c r="D43" s="12">
        <f>SUM(D44:D45)</f>
        <v>72198.568750000006</v>
      </c>
      <c r="E43" s="12">
        <f t="shared" ref="E43:O43" si="13">SUM(E44:E45)</f>
        <v>75064.324999999997</v>
      </c>
      <c r="F43" s="12">
        <f t="shared" si="13"/>
        <v>79094.872499999998</v>
      </c>
      <c r="G43" s="12">
        <f t="shared" si="13"/>
        <v>81757.252500000002</v>
      </c>
      <c r="H43" s="12">
        <f t="shared" si="13"/>
        <v>85418.024999999994</v>
      </c>
      <c r="I43" s="12">
        <f t="shared" si="13"/>
        <v>87729.118749999994</v>
      </c>
      <c r="J43" s="12">
        <f t="shared" si="13"/>
        <v>89929.279999999999</v>
      </c>
      <c r="K43" s="12">
        <f t="shared" si="13"/>
        <v>92018.942249999993</v>
      </c>
      <c r="L43" s="12">
        <f t="shared" si="13"/>
        <v>93996.804999999993</v>
      </c>
      <c r="M43" s="12">
        <f t="shared" si="13"/>
        <v>98119.796249999999</v>
      </c>
      <c r="N43" s="12">
        <f t="shared" si="13"/>
        <v>105385.875</v>
      </c>
      <c r="O43" s="12">
        <f t="shared" si="13"/>
        <v>117810.315</v>
      </c>
    </row>
    <row r="44" spans="2:15" x14ac:dyDescent="0.25">
      <c r="C44" s="4" t="s">
        <v>139</v>
      </c>
      <c r="D44" s="29">
        <f>D61+D78+D95</f>
        <v>43319.141250000001</v>
      </c>
      <c r="E44" s="29">
        <f t="shared" ref="E44:O44" si="14">E61+E78+E95</f>
        <v>45038.595000000001</v>
      </c>
      <c r="F44" s="29">
        <f t="shared" si="14"/>
        <v>47456.923500000004</v>
      </c>
      <c r="G44" s="29">
        <f t="shared" si="14"/>
        <v>49054.351499999997</v>
      </c>
      <c r="H44" s="29">
        <f t="shared" si="14"/>
        <v>51250.815000000002</v>
      </c>
      <c r="I44" s="29">
        <f t="shared" si="14"/>
        <v>52637.471250000002</v>
      </c>
      <c r="J44" s="29">
        <f t="shared" si="14"/>
        <v>53957.567999999992</v>
      </c>
      <c r="K44" s="29">
        <f t="shared" si="14"/>
        <v>55211.538749999992</v>
      </c>
      <c r="L44" s="29">
        <f t="shared" si="14"/>
        <v>56398.082999999991</v>
      </c>
      <c r="M44" s="29">
        <f t="shared" si="14"/>
        <v>58871.87775</v>
      </c>
      <c r="N44" s="29">
        <f t="shared" si="14"/>
        <v>63231.525000000001</v>
      </c>
      <c r="O44" s="29">
        <f t="shared" si="14"/>
        <v>70686.188999999998</v>
      </c>
    </row>
    <row r="45" spans="2:15" x14ac:dyDescent="0.25">
      <c r="C45" s="4" t="s">
        <v>140</v>
      </c>
      <c r="D45" s="28">
        <f>D62+D79+D96</f>
        <v>28879.427499999998</v>
      </c>
      <c r="E45" s="28">
        <f t="shared" ref="E45:O45" si="15">E62+E79+E96</f>
        <v>30025.73</v>
      </c>
      <c r="F45" s="28">
        <f t="shared" si="15"/>
        <v>31637.948999999993</v>
      </c>
      <c r="G45" s="28">
        <f t="shared" si="15"/>
        <v>32702.901000000005</v>
      </c>
      <c r="H45" s="28">
        <f t="shared" si="15"/>
        <v>34167.21</v>
      </c>
      <c r="I45" s="28">
        <f t="shared" si="15"/>
        <v>35091.647499999999</v>
      </c>
      <c r="J45" s="28">
        <f t="shared" si="15"/>
        <v>35971.712</v>
      </c>
      <c r="K45" s="28">
        <f t="shared" si="15"/>
        <v>36807.4035</v>
      </c>
      <c r="L45" s="28">
        <f t="shared" si="15"/>
        <v>37598.721999999994</v>
      </c>
      <c r="M45" s="28">
        <f t="shared" si="15"/>
        <v>39247.9185</v>
      </c>
      <c r="N45" s="28">
        <f t="shared" si="15"/>
        <v>42154.35</v>
      </c>
      <c r="O45" s="28">
        <f t="shared" si="15"/>
        <v>47124.126000000004</v>
      </c>
    </row>
    <row r="46" spans="2:15" x14ac:dyDescent="0.25">
      <c r="C46" s="1" t="s">
        <v>133</v>
      </c>
      <c r="D46" s="12">
        <f>SUM(D47:D48)</f>
        <v>28879.427499999998</v>
      </c>
      <c r="E46" s="12">
        <f t="shared" ref="E46:O46" si="16">SUM(E47:E48)</f>
        <v>30025.73</v>
      </c>
      <c r="F46" s="12">
        <f t="shared" si="16"/>
        <v>31637.948999999997</v>
      </c>
      <c r="G46" s="12">
        <f t="shared" si="16"/>
        <v>32702.820600000003</v>
      </c>
      <c r="H46" s="12">
        <f t="shared" si="16"/>
        <v>34167.210000000006</v>
      </c>
      <c r="I46" s="12">
        <f t="shared" si="16"/>
        <v>35091.647499999999</v>
      </c>
      <c r="J46" s="12">
        <f t="shared" si="16"/>
        <v>35971.712</v>
      </c>
      <c r="K46" s="12">
        <f t="shared" si="16"/>
        <v>36807.258999999998</v>
      </c>
      <c r="L46" s="12">
        <f t="shared" si="16"/>
        <v>37598.722000000002</v>
      </c>
      <c r="M46" s="12">
        <f t="shared" si="16"/>
        <v>39247.9185</v>
      </c>
      <c r="N46" s="12">
        <f t="shared" si="16"/>
        <v>42154.350000000006</v>
      </c>
      <c r="O46" s="12">
        <f t="shared" si="16"/>
        <v>47124.819600000003</v>
      </c>
    </row>
    <row r="47" spans="2:15" x14ac:dyDescent="0.25">
      <c r="C47" s="4" t="s">
        <v>141</v>
      </c>
      <c r="D47" s="28">
        <f>D64+D81+D98</f>
        <v>17327.656500000001</v>
      </c>
      <c r="E47" s="28">
        <f t="shared" ref="E47:O47" si="17">E64+E81+E98</f>
        <v>18015.438000000002</v>
      </c>
      <c r="F47" s="28">
        <f t="shared" si="17"/>
        <v>18982.769399999997</v>
      </c>
      <c r="G47" s="28">
        <f t="shared" si="17"/>
        <v>19621.740600000001</v>
      </c>
      <c r="H47" s="28">
        <f t="shared" si="17"/>
        <v>20500.326000000001</v>
      </c>
      <c r="I47" s="28">
        <f t="shared" si="17"/>
        <v>21054.988499999999</v>
      </c>
      <c r="J47" s="28">
        <f t="shared" si="17"/>
        <v>21583.0272</v>
      </c>
      <c r="K47" s="28">
        <f t="shared" si="17"/>
        <v>22084.297599999998</v>
      </c>
      <c r="L47" s="28">
        <f t="shared" si="17"/>
        <v>22559.233200000002</v>
      </c>
      <c r="M47" s="28">
        <f t="shared" si="17"/>
        <v>23548.751100000001</v>
      </c>
      <c r="N47" s="28">
        <f t="shared" si="17"/>
        <v>25292.61</v>
      </c>
      <c r="O47" s="28">
        <f t="shared" si="17"/>
        <v>28275.169200000004</v>
      </c>
    </row>
    <row r="48" spans="2:15" x14ac:dyDescent="0.25">
      <c r="C48" s="4" t="s">
        <v>142</v>
      </c>
      <c r="D48" s="28">
        <f>D65+D82+D99</f>
        <v>11551.770999999999</v>
      </c>
      <c r="E48" s="28">
        <f t="shared" ref="E48:O48" si="18">E65+E82+E99</f>
        <v>12010.291999999998</v>
      </c>
      <c r="F48" s="28">
        <f t="shared" si="18"/>
        <v>12655.179599999999</v>
      </c>
      <c r="G48" s="28">
        <f t="shared" si="18"/>
        <v>13081.080000000002</v>
      </c>
      <c r="H48" s="28">
        <f t="shared" si="18"/>
        <v>13666.884000000002</v>
      </c>
      <c r="I48" s="28">
        <f t="shared" si="18"/>
        <v>14036.659000000001</v>
      </c>
      <c r="J48" s="28">
        <f t="shared" si="18"/>
        <v>14388.684799999999</v>
      </c>
      <c r="K48" s="28">
        <f t="shared" si="18"/>
        <v>14722.9614</v>
      </c>
      <c r="L48" s="28">
        <f t="shared" si="18"/>
        <v>15039.488799999999</v>
      </c>
      <c r="M48" s="28">
        <f t="shared" si="18"/>
        <v>15699.1674</v>
      </c>
      <c r="N48" s="28">
        <f t="shared" si="18"/>
        <v>16861.740000000002</v>
      </c>
      <c r="O48" s="28">
        <f t="shared" si="18"/>
        <v>18849.650399999999</v>
      </c>
    </row>
    <row r="49" spans="3:15" x14ac:dyDescent="0.25">
      <c r="C49" s="1" t="s">
        <v>134</v>
      </c>
      <c r="D49" s="12">
        <f>SUM(D50:D51)</f>
        <v>28879.427499999998</v>
      </c>
      <c r="E49" s="12">
        <f t="shared" ref="E49:O49" si="19">SUM(E50:E51)</f>
        <v>30025.73</v>
      </c>
      <c r="F49" s="12">
        <f t="shared" si="19"/>
        <v>31637.948999999997</v>
      </c>
      <c r="G49" s="12">
        <f t="shared" si="19"/>
        <v>32702.820600000003</v>
      </c>
      <c r="H49" s="12">
        <f t="shared" si="19"/>
        <v>34167.210000000006</v>
      </c>
      <c r="I49" s="12">
        <f t="shared" si="19"/>
        <v>35091.647499999999</v>
      </c>
      <c r="J49" s="12">
        <f t="shared" si="19"/>
        <v>35971.712</v>
      </c>
      <c r="K49" s="12">
        <f t="shared" si="19"/>
        <v>36807.258999999998</v>
      </c>
      <c r="L49" s="12">
        <f t="shared" si="19"/>
        <v>37598.722000000002</v>
      </c>
      <c r="M49" s="12">
        <f t="shared" si="19"/>
        <v>39247.9185</v>
      </c>
      <c r="N49" s="12">
        <f t="shared" si="19"/>
        <v>42154.350000000006</v>
      </c>
      <c r="O49" s="12">
        <f t="shared" si="19"/>
        <v>47124.819600000003</v>
      </c>
    </row>
    <row r="50" spans="3:15" x14ac:dyDescent="0.25">
      <c r="C50" s="4" t="s">
        <v>143</v>
      </c>
      <c r="D50" s="28">
        <f>D67+D84+D101</f>
        <v>17327.656500000001</v>
      </c>
      <c r="E50" s="28">
        <f t="shared" ref="E50:O50" si="20">E67+E84+E101</f>
        <v>18015.438000000002</v>
      </c>
      <c r="F50" s="28">
        <f t="shared" si="20"/>
        <v>18982.769399999997</v>
      </c>
      <c r="G50" s="28">
        <f t="shared" si="20"/>
        <v>19621.740600000001</v>
      </c>
      <c r="H50" s="28">
        <f t="shared" si="20"/>
        <v>20500.326000000001</v>
      </c>
      <c r="I50" s="28">
        <f t="shared" si="20"/>
        <v>21054.988499999999</v>
      </c>
      <c r="J50" s="28">
        <f t="shared" si="20"/>
        <v>21583.0272</v>
      </c>
      <c r="K50" s="28">
        <f t="shared" si="20"/>
        <v>22084.297599999998</v>
      </c>
      <c r="L50" s="28">
        <f t="shared" si="20"/>
        <v>22559.233200000002</v>
      </c>
      <c r="M50" s="28">
        <f t="shared" si="20"/>
        <v>23548.751100000001</v>
      </c>
      <c r="N50" s="28">
        <f t="shared" si="20"/>
        <v>25292.61</v>
      </c>
      <c r="O50" s="28">
        <f t="shared" si="20"/>
        <v>28275.169200000004</v>
      </c>
    </row>
    <row r="51" spans="3:15" x14ac:dyDescent="0.25">
      <c r="C51" s="4" t="s">
        <v>144</v>
      </c>
      <c r="D51" s="28">
        <f>D68+D85+D102</f>
        <v>11551.770999999999</v>
      </c>
      <c r="E51" s="28">
        <f t="shared" ref="E51:O51" si="21">E68+E85+E102</f>
        <v>12010.291999999998</v>
      </c>
      <c r="F51" s="28">
        <f t="shared" si="21"/>
        <v>12655.179599999999</v>
      </c>
      <c r="G51" s="28">
        <f t="shared" si="21"/>
        <v>13081.080000000002</v>
      </c>
      <c r="H51" s="28">
        <f t="shared" si="21"/>
        <v>13666.884000000002</v>
      </c>
      <c r="I51" s="28">
        <f t="shared" si="21"/>
        <v>14036.659000000001</v>
      </c>
      <c r="J51" s="28">
        <f t="shared" si="21"/>
        <v>14388.684799999999</v>
      </c>
      <c r="K51" s="28">
        <f t="shared" si="21"/>
        <v>14722.9614</v>
      </c>
      <c r="L51" s="28">
        <f t="shared" si="21"/>
        <v>15039.488799999999</v>
      </c>
      <c r="M51" s="28">
        <f t="shared" si="21"/>
        <v>15699.1674</v>
      </c>
      <c r="N51" s="28">
        <f t="shared" si="21"/>
        <v>16861.740000000002</v>
      </c>
      <c r="O51" s="28">
        <f t="shared" si="21"/>
        <v>18849.650399999999</v>
      </c>
    </row>
    <row r="52" spans="3:15" x14ac:dyDescent="0.25">
      <c r="C52" s="4"/>
      <c r="D52" s="32"/>
      <c r="E52" s="32"/>
      <c r="F52" s="32"/>
      <c r="G52" s="32"/>
      <c r="H52" s="32"/>
      <c r="I52" s="32"/>
      <c r="J52" s="32"/>
      <c r="K52" s="32"/>
      <c r="L52" s="32"/>
      <c r="M52" s="32"/>
      <c r="N52" s="32"/>
      <c r="O52" s="32"/>
    </row>
    <row r="53" spans="3:15" x14ac:dyDescent="0.25">
      <c r="C53" s="114" t="s">
        <v>29</v>
      </c>
      <c r="D53" s="11">
        <f>D54+D57+D60+D63+D66</f>
        <v>181582.5</v>
      </c>
      <c r="E53" s="11">
        <f t="shared" ref="E53:O53" si="22">E54+E57+E60+E63+E66</f>
        <v>188790</v>
      </c>
      <c r="F53" s="11">
        <f t="shared" si="22"/>
        <v>198927</v>
      </c>
      <c r="G53" s="11">
        <f t="shared" si="22"/>
        <v>205624.92</v>
      </c>
      <c r="H53" s="11">
        <f t="shared" si="22"/>
        <v>214830</v>
      </c>
      <c r="I53" s="11">
        <f t="shared" si="22"/>
        <v>220642.5</v>
      </c>
      <c r="J53" s="11">
        <f t="shared" si="22"/>
        <v>226176</v>
      </c>
      <c r="K53" s="11">
        <f t="shared" si="22"/>
        <v>231430.86</v>
      </c>
      <c r="L53" s="11">
        <f t="shared" si="22"/>
        <v>236406.03</v>
      </c>
      <c r="M53" s="11">
        <f t="shared" si="22"/>
        <v>246775.5</v>
      </c>
      <c r="N53" s="11">
        <f t="shared" si="22"/>
        <v>265050</v>
      </c>
      <c r="O53" s="11">
        <f t="shared" si="22"/>
        <v>296298</v>
      </c>
    </row>
    <row r="54" spans="3:15" x14ac:dyDescent="0.25">
      <c r="C54" s="1" t="s">
        <v>130</v>
      </c>
      <c r="D54" s="12">
        <f>SUM(D55:D56)</f>
        <v>54474.75</v>
      </c>
      <c r="E54" s="12">
        <f t="shared" ref="E54:O54" si="23">SUM(E55:E56)</f>
        <v>56637</v>
      </c>
      <c r="F54" s="12">
        <f t="shared" si="23"/>
        <v>59678.1</v>
      </c>
      <c r="G54" s="12">
        <f t="shared" si="23"/>
        <v>61686.9</v>
      </c>
      <c r="H54" s="12">
        <f t="shared" si="23"/>
        <v>64449</v>
      </c>
      <c r="I54" s="12">
        <f t="shared" si="23"/>
        <v>66192.75</v>
      </c>
      <c r="J54" s="12">
        <f t="shared" si="23"/>
        <v>67852.800000000003</v>
      </c>
      <c r="K54" s="12">
        <f t="shared" si="23"/>
        <v>69429.509999999995</v>
      </c>
      <c r="L54" s="12">
        <f t="shared" si="23"/>
        <v>70921.83</v>
      </c>
      <c r="M54" s="12">
        <f t="shared" si="23"/>
        <v>74032.650000000009</v>
      </c>
      <c r="N54" s="12">
        <f t="shared" si="23"/>
        <v>79515</v>
      </c>
      <c r="O54" s="12">
        <f t="shared" si="23"/>
        <v>88889.4</v>
      </c>
    </row>
    <row r="55" spans="3:15" x14ac:dyDescent="0.25">
      <c r="C55" s="4" t="s">
        <v>136</v>
      </c>
      <c r="D55" s="30">
        <v>32684.850000000002</v>
      </c>
      <c r="E55" s="14">
        <v>33982.199999999997</v>
      </c>
      <c r="F55" s="14">
        <v>35806.86</v>
      </c>
      <c r="G55" s="14">
        <v>37012.14</v>
      </c>
      <c r="H55" s="14">
        <v>38669.399999999994</v>
      </c>
      <c r="I55" s="14">
        <v>39715.649999999994</v>
      </c>
      <c r="J55" s="14">
        <v>40711.68</v>
      </c>
      <c r="K55" s="14">
        <v>41657.49</v>
      </c>
      <c r="L55" s="14">
        <v>42553.08</v>
      </c>
      <c r="M55" s="14">
        <v>44419.590000000004</v>
      </c>
      <c r="N55" s="14">
        <v>47709</v>
      </c>
      <c r="O55" s="14">
        <v>53333.64</v>
      </c>
    </row>
    <row r="56" spans="3:15" x14ac:dyDescent="0.25">
      <c r="C56" s="4" t="s">
        <v>135</v>
      </c>
      <c r="D56" s="14">
        <v>21789.9</v>
      </c>
      <c r="E56" s="14">
        <v>22654.800000000003</v>
      </c>
      <c r="F56" s="14">
        <v>23871.239999999998</v>
      </c>
      <c r="G56" s="14">
        <v>24674.760000000002</v>
      </c>
      <c r="H56" s="14">
        <v>25779.600000000002</v>
      </c>
      <c r="I56" s="14">
        <v>26477.100000000002</v>
      </c>
      <c r="J56" s="14">
        <v>27141.120000000003</v>
      </c>
      <c r="K56" s="14">
        <v>27772.02</v>
      </c>
      <c r="L56" s="14">
        <v>28368.75</v>
      </c>
      <c r="M56" s="14">
        <v>29613.06</v>
      </c>
      <c r="N56" s="14">
        <v>31806</v>
      </c>
      <c r="O56" s="14">
        <v>35555.760000000002</v>
      </c>
    </row>
    <row r="57" spans="3:15" x14ac:dyDescent="0.25">
      <c r="C57" s="1" t="s">
        <v>131</v>
      </c>
      <c r="D57" s="12">
        <f>SUM(D58:D59)</f>
        <v>45395.625</v>
      </c>
      <c r="E57" s="12">
        <f t="shared" ref="E57:O57" si="24">SUM(E58:E59)</f>
        <v>47197.5</v>
      </c>
      <c r="F57" s="12">
        <f t="shared" si="24"/>
        <v>49731.75</v>
      </c>
      <c r="G57" s="12">
        <f t="shared" si="24"/>
        <v>51405.75</v>
      </c>
      <c r="H57" s="12">
        <f t="shared" si="24"/>
        <v>53707.5</v>
      </c>
      <c r="I57" s="12">
        <f t="shared" si="24"/>
        <v>55160.625</v>
      </c>
      <c r="J57" s="12">
        <f t="shared" si="24"/>
        <v>56543.999999999993</v>
      </c>
      <c r="K57" s="12">
        <f t="shared" si="24"/>
        <v>57857.625</v>
      </c>
      <c r="L57" s="12">
        <f t="shared" si="24"/>
        <v>59101.499999999993</v>
      </c>
      <c r="M57" s="12">
        <f t="shared" si="24"/>
        <v>61693.875</v>
      </c>
      <c r="N57" s="12">
        <f t="shared" si="24"/>
        <v>66262.5</v>
      </c>
      <c r="O57" s="12">
        <f t="shared" si="24"/>
        <v>74074.5</v>
      </c>
    </row>
    <row r="58" spans="3:15" x14ac:dyDescent="0.25">
      <c r="C58" s="4" t="s">
        <v>137</v>
      </c>
      <c r="D58" s="14">
        <v>27237.375</v>
      </c>
      <c r="E58" s="14">
        <v>28318.5</v>
      </c>
      <c r="F58" s="14">
        <v>29839.050000000003</v>
      </c>
      <c r="G58" s="14">
        <v>30843.449999999997</v>
      </c>
      <c r="H58" s="14">
        <v>32224.5</v>
      </c>
      <c r="I58" s="14">
        <v>33096.375</v>
      </c>
      <c r="J58" s="14">
        <v>33926.399999999994</v>
      </c>
      <c r="K58" s="14">
        <v>34714.574999999997</v>
      </c>
      <c r="L58" s="14">
        <v>35460.899999999994</v>
      </c>
      <c r="M58" s="14">
        <v>37016.324999999997</v>
      </c>
      <c r="N58" s="14">
        <v>39757.5</v>
      </c>
      <c r="O58" s="14">
        <v>44444.7</v>
      </c>
    </row>
    <row r="59" spans="3:15" x14ac:dyDescent="0.25">
      <c r="C59" s="4" t="s">
        <v>138</v>
      </c>
      <c r="D59" s="14">
        <v>18158.25</v>
      </c>
      <c r="E59" s="14">
        <v>18879</v>
      </c>
      <c r="F59" s="14">
        <v>19892.699999999997</v>
      </c>
      <c r="G59" s="14">
        <v>20562.300000000003</v>
      </c>
      <c r="H59" s="14">
        <v>21483</v>
      </c>
      <c r="I59" s="14">
        <v>22064.25</v>
      </c>
      <c r="J59" s="14">
        <v>22617.599999999999</v>
      </c>
      <c r="K59" s="14">
        <v>23143.050000000003</v>
      </c>
      <c r="L59" s="14">
        <v>23640.6</v>
      </c>
      <c r="M59" s="14">
        <v>24677.550000000003</v>
      </c>
      <c r="N59" s="14">
        <v>26505</v>
      </c>
      <c r="O59" s="14">
        <v>29629.800000000003</v>
      </c>
    </row>
    <row r="60" spans="3:15" x14ac:dyDescent="0.25">
      <c r="C60" s="1" t="s">
        <v>132</v>
      </c>
      <c r="D60" s="12">
        <f>SUM(D61:D62)</f>
        <v>45395.625</v>
      </c>
      <c r="E60" s="12">
        <f t="shared" ref="E60:O60" si="25">SUM(E61:E62)</f>
        <v>47197.5</v>
      </c>
      <c r="F60" s="12">
        <f t="shared" si="25"/>
        <v>49731.75</v>
      </c>
      <c r="G60" s="12">
        <f t="shared" si="25"/>
        <v>51405.75</v>
      </c>
      <c r="H60" s="12">
        <f t="shared" si="25"/>
        <v>53707.5</v>
      </c>
      <c r="I60" s="12">
        <f t="shared" si="25"/>
        <v>55160.625</v>
      </c>
      <c r="J60" s="12">
        <f>SUM(J61:J62)</f>
        <v>56543.999999999993</v>
      </c>
      <c r="K60" s="12">
        <f t="shared" si="25"/>
        <v>57857.625</v>
      </c>
      <c r="L60" s="12">
        <f t="shared" si="25"/>
        <v>59101.499999999993</v>
      </c>
      <c r="M60" s="12">
        <f t="shared" si="25"/>
        <v>61693.875</v>
      </c>
      <c r="N60" s="12">
        <f t="shared" si="25"/>
        <v>66262.5</v>
      </c>
      <c r="O60" s="12">
        <f t="shared" si="25"/>
        <v>74074.5</v>
      </c>
    </row>
    <row r="61" spans="3:15" x14ac:dyDescent="0.25">
      <c r="C61" s="4" t="s">
        <v>139</v>
      </c>
      <c r="D61" s="14">
        <v>27237.375</v>
      </c>
      <c r="E61" s="14">
        <v>28318.5</v>
      </c>
      <c r="F61" s="14">
        <v>29839.050000000003</v>
      </c>
      <c r="G61" s="14">
        <v>30843.449999999997</v>
      </c>
      <c r="H61" s="14">
        <v>32224.5</v>
      </c>
      <c r="I61" s="14">
        <v>33096.375</v>
      </c>
      <c r="J61" s="14">
        <v>33926.399999999994</v>
      </c>
      <c r="K61" s="14">
        <v>34714.574999999997</v>
      </c>
      <c r="L61" s="14">
        <v>35460.899999999994</v>
      </c>
      <c r="M61" s="14">
        <v>37016.324999999997</v>
      </c>
      <c r="N61" s="14">
        <v>39757.5</v>
      </c>
      <c r="O61" s="14">
        <v>44444.7</v>
      </c>
    </row>
    <row r="62" spans="3:15" x14ac:dyDescent="0.25">
      <c r="C62" s="4" t="s">
        <v>140</v>
      </c>
      <c r="D62" s="14">
        <v>18158.25</v>
      </c>
      <c r="E62" s="14">
        <v>18879</v>
      </c>
      <c r="F62" s="14">
        <v>19892.699999999997</v>
      </c>
      <c r="G62" s="14">
        <v>20562.300000000003</v>
      </c>
      <c r="H62" s="14">
        <v>21483</v>
      </c>
      <c r="I62" s="14">
        <v>22064.25</v>
      </c>
      <c r="J62" s="14">
        <v>22617.599999999999</v>
      </c>
      <c r="K62" s="14">
        <v>23143.050000000003</v>
      </c>
      <c r="L62" s="14">
        <v>23640.6</v>
      </c>
      <c r="M62" s="14">
        <v>24677.550000000003</v>
      </c>
      <c r="N62" s="14">
        <v>26505</v>
      </c>
      <c r="O62" s="14">
        <v>29629.800000000003</v>
      </c>
    </row>
    <row r="63" spans="3:15" x14ac:dyDescent="0.25">
      <c r="C63" s="1" t="s">
        <v>133</v>
      </c>
      <c r="D63" s="12">
        <f>SUM(D64:D65)</f>
        <v>18158.25</v>
      </c>
      <c r="E63" s="12">
        <f t="shared" ref="E63:O63" si="26">SUM(E64:E65)</f>
        <v>18879</v>
      </c>
      <c r="F63" s="12">
        <f t="shared" si="26"/>
        <v>19892.699999999997</v>
      </c>
      <c r="G63" s="12">
        <f t="shared" si="26"/>
        <v>20563.260000000002</v>
      </c>
      <c r="H63" s="12">
        <f t="shared" si="26"/>
        <v>21483</v>
      </c>
      <c r="I63" s="12">
        <f>SUM(I64:I65)</f>
        <v>22064.25</v>
      </c>
      <c r="J63" s="12">
        <f t="shared" si="26"/>
        <v>22617.599999999999</v>
      </c>
      <c r="K63" s="12">
        <f t="shared" si="26"/>
        <v>23143.049999999996</v>
      </c>
      <c r="L63" s="12">
        <f t="shared" si="26"/>
        <v>23640.6</v>
      </c>
      <c r="M63" s="12">
        <f t="shared" si="26"/>
        <v>24677.550000000003</v>
      </c>
      <c r="N63" s="12">
        <f t="shared" si="26"/>
        <v>26505</v>
      </c>
      <c r="O63" s="12">
        <f t="shared" si="26"/>
        <v>29629.800000000003</v>
      </c>
    </row>
    <row r="64" spans="3:15" x14ac:dyDescent="0.25">
      <c r="C64" s="4" t="s">
        <v>141</v>
      </c>
      <c r="D64" s="14">
        <v>10894.95</v>
      </c>
      <c r="E64" s="14">
        <v>11327.400000000001</v>
      </c>
      <c r="F64" s="14">
        <v>11935.619999999999</v>
      </c>
      <c r="G64" s="14">
        <v>12337.380000000001</v>
      </c>
      <c r="H64" s="14">
        <v>12889.800000000001</v>
      </c>
      <c r="I64" s="31">
        <v>13238.550000000001</v>
      </c>
      <c r="J64" s="14">
        <v>13570.560000000001</v>
      </c>
      <c r="K64" s="14">
        <v>13885.829999999998</v>
      </c>
      <c r="L64" s="14">
        <v>14184.36</v>
      </c>
      <c r="M64" s="14">
        <v>14806.53</v>
      </c>
      <c r="N64" s="14">
        <v>15903</v>
      </c>
      <c r="O64" s="14">
        <v>17777.88</v>
      </c>
    </row>
    <row r="65" spans="3:15" x14ac:dyDescent="0.25">
      <c r="C65" s="4" t="s">
        <v>142</v>
      </c>
      <c r="D65" s="14">
        <v>7263.2999999999993</v>
      </c>
      <c r="E65" s="14">
        <v>7551.5999999999995</v>
      </c>
      <c r="F65" s="14">
        <v>7957.08</v>
      </c>
      <c r="G65" s="14">
        <v>8225.880000000001</v>
      </c>
      <c r="H65" s="14">
        <v>8593.2000000000007</v>
      </c>
      <c r="I65" s="31">
        <v>8825.7000000000007</v>
      </c>
      <c r="J65" s="14">
        <v>9047.0399999999991</v>
      </c>
      <c r="K65" s="14">
        <v>9257.2199999999993</v>
      </c>
      <c r="L65" s="14">
        <v>9456.24</v>
      </c>
      <c r="M65" s="14">
        <v>9871.02</v>
      </c>
      <c r="N65" s="14">
        <v>10602</v>
      </c>
      <c r="O65" s="14">
        <v>11851.92</v>
      </c>
    </row>
    <row r="66" spans="3:15" x14ac:dyDescent="0.25">
      <c r="C66" s="1" t="s">
        <v>134</v>
      </c>
      <c r="D66" s="12">
        <f t="shared" ref="D66:O66" si="27">SUM(D67:D68)</f>
        <v>18158.25</v>
      </c>
      <c r="E66" s="12">
        <f t="shared" si="27"/>
        <v>18879</v>
      </c>
      <c r="F66" s="12">
        <f t="shared" si="27"/>
        <v>19892.699999999997</v>
      </c>
      <c r="G66" s="12">
        <f t="shared" si="27"/>
        <v>20563.260000000002</v>
      </c>
      <c r="H66" s="12">
        <f t="shared" si="27"/>
        <v>21483</v>
      </c>
      <c r="I66" s="12">
        <f t="shared" si="27"/>
        <v>22064.25</v>
      </c>
      <c r="J66" s="12">
        <f t="shared" si="27"/>
        <v>22617.599999999999</v>
      </c>
      <c r="K66" s="12">
        <f t="shared" si="27"/>
        <v>23143.049999999996</v>
      </c>
      <c r="L66" s="12">
        <f t="shared" si="27"/>
        <v>23640.6</v>
      </c>
      <c r="M66" s="12">
        <f t="shared" si="27"/>
        <v>24677.550000000003</v>
      </c>
      <c r="N66" s="12">
        <f t="shared" si="27"/>
        <v>26505</v>
      </c>
      <c r="O66" s="12">
        <f t="shared" si="27"/>
        <v>29629.800000000003</v>
      </c>
    </row>
    <row r="67" spans="3:15" x14ac:dyDescent="0.25">
      <c r="C67" s="4" t="s">
        <v>143</v>
      </c>
      <c r="D67" s="14">
        <v>10894.95</v>
      </c>
      <c r="E67" s="14">
        <v>11327.400000000001</v>
      </c>
      <c r="F67" s="14">
        <v>11935.619999999999</v>
      </c>
      <c r="G67" s="14">
        <v>12337.380000000001</v>
      </c>
      <c r="H67" s="14">
        <v>12889.800000000001</v>
      </c>
      <c r="I67" s="14">
        <v>13238.550000000001</v>
      </c>
      <c r="J67" s="14">
        <v>13570.560000000001</v>
      </c>
      <c r="K67" s="14">
        <v>13885.829999999998</v>
      </c>
      <c r="L67" s="14">
        <v>14184.36</v>
      </c>
      <c r="M67" s="14">
        <v>14806.53</v>
      </c>
      <c r="N67" s="14">
        <v>15903</v>
      </c>
      <c r="O67" s="14">
        <v>17777.88</v>
      </c>
    </row>
    <row r="68" spans="3:15" x14ac:dyDescent="0.25">
      <c r="C68" s="4" t="s">
        <v>144</v>
      </c>
      <c r="D68" s="30">
        <v>7263.2999999999993</v>
      </c>
      <c r="E68" s="30">
        <v>7551.5999999999995</v>
      </c>
      <c r="F68" s="30">
        <v>7957.08</v>
      </c>
      <c r="G68" s="30">
        <v>8225.880000000001</v>
      </c>
      <c r="H68" s="14">
        <v>8593.2000000000007</v>
      </c>
      <c r="I68" s="14">
        <v>8825.7000000000007</v>
      </c>
      <c r="J68" s="14">
        <v>9047.0399999999991</v>
      </c>
      <c r="K68" s="30">
        <v>9257.2199999999993</v>
      </c>
      <c r="L68" s="30">
        <v>9456.24</v>
      </c>
      <c r="M68" s="30">
        <v>9871.02</v>
      </c>
      <c r="N68" s="30">
        <v>10602</v>
      </c>
      <c r="O68" s="30">
        <v>11851.92</v>
      </c>
    </row>
    <row r="69" spans="3:15" x14ac:dyDescent="0.25">
      <c r="C69" s="4"/>
    </row>
    <row r="70" spans="3:15" x14ac:dyDescent="0.25">
      <c r="C70" s="114" t="s">
        <v>30</v>
      </c>
      <c r="D70" s="11">
        <f>D71+D74+D77+D80+D83</f>
        <v>56427.25</v>
      </c>
      <c r="E70" s="11">
        <f t="shared" ref="E70:M70" si="28">E71+E74+E77+E80+E83</f>
        <v>58666.999999999993</v>
      </c>
      <c r="F70" s="11">
        <f t="shared" si="28"/>
        <v>61817.099999999991</v>
      </c>
      <c r="G70" s="11">
        <f t="shared" si="28"/>
        <v>63897.9</v>
      </c>
      <c r="H70" s="11">
        <f t="shared" si="28"/>
        <v>66759</v>
      </c>
      <c r="I70" s="11">
        <f t="shared" si="28"/>
        <v>68565.25</v>
      </c>
      <c r="J70" s="11">
        <f t="shared" si="28"/>
        <v>70284.799999999988</v>
      </c>
      <c r="K70" s="11">
        <f t="shared" si="28"/>
        <v>71917.649999999994</v>
      </c>
      <c r="L70" s="11">
        <f t="shared" si="28"/>
        <v>73463.8</v>
      </c>
      <c r="M70" s="11">
        <f t="shared" si="28"/>
        <v>76686.149999999994</v>
      </c>
      <c r="N70" s="11">
        <f t="shared" ref="N70" si="29">N71+N74+N77+N80+N83</f>
        <v>82365</v>
      </c>
      <c r="O70" s="11">
        <f t="shared" ref="O70" si="30">O71+O74+O77+O80+O83</f>
        <v>92075.4</v>
      </c>
    </row>
    <row r="71" spans="3:15" x14ac:dyDescent="0.25">
      <c r="C71" s="1" t="s">
        <v>130</v>
      </c>
      <c r="D71" s="33">
        <f t="shared" ref="D71:O71" si="31">SUM(D72:D73)</f>
        <v>16928.174999999999</v>
      </c>
      <c r="E71" s="33">
        <f t="shared" si="31"/>
        <v>17600.099999999999</v>
      </c>
      <c r="F71" s="33">
        <f t="shared" si="31"/>
        <v>18545.129999999997</v>
      </c>
      <c r="G71" s="33">
        <f t="shared" si="31"/>
        <v>19169.37</v>
      </c>
      <c r="H71" s="33">
        <f t="shared" si="31"/>
        <v>20027.699999999997</v>
      </c>
      <c r="I71" s="12">
        <f t="shared" si="31"/>
        <v>20569.574999999997</v>
      </c>
      <c r="J71" s="12">
        <f t="shared" si="31"/>
        <v>21085.439999999999</v>
      </c>
      <c r="K71" s="12">
        <f t="shared" si="31"/>
        <v>21575.294999999998</v>
      </c>
      <c r="L71" s="12">
        <f t="shared" si="31"/>
        <v>22039.14</v>
      </c>
      <c r="M71" s="12">
        <f t="shared" si="31"/>
        <v>23005.844999999998</v>
      </c>
      <c r="N71" s="12">
        <f t="shared" si="31"/>
        <v>24709.5</v>
      </c>
      <c r="O71" s="12">
        <f t="shared" si="31"/>
        <v>27622.62</v>
      </c>
    </row>
    <row r="72" spans="3:15" x14ac:dyDescent="0.25">
      <c r="C72" s="4" t="s">
        <v>136</v>
      </c>
      <c r="D72" s="34">
        <v>10156.904999999999</v>
      </c>
      <c r="E72" s="34">
        <v>10560.06</v>
      </c>
      <c r="F72" s="34">
        <v>11127.077999999998</v>
      </c>
      <c r="G72" s="34">
        <v>11501.621999999999</v>
      </c>
      <c r="H72" s="34">
        <v>12016.619999999999</v>
      </c>
      <c r="I72" s="14">
        <v>12341.744999999999</v>
      </c>
      <c r="J72" s="14">
        <v>12651.263999999999</v>
      </c>
      <c r="K72" s="14">
        <v>12945.177</v>
      </c>
      <c r="L72" s="14">
        <v>13223.484</v>
      </c>
      <c r="M72" s="14">
        <v>13803.507</v>
      </c>
      <c r="N72" s="14">
        <v>14825.699999999999</v>
      </c>
      <c r="O72" s="14">
        <v>16573.572</v>
      </c>
    </row>
    <row r="73" spans="3:15" x14ac:dyDescent="0.25">
      <c r="C73" s="4" t="s">
        <v>135</v>
      </c>
      <c r="D73" s="34">
        <v>6771.2699999999995</v>
      </c>
      <c r="E73" s="34">
        <v>7040.0399999999991</v>
      </c>
      <c r="F73" s="34">
        <v>7418.0520000000006</v>
      </c>
      <c r="G73" s="34">
        <v>7667.7479999999987</v>
      </c>
      <c r="H73" s="34">
        <v>8011.079999999999</v>
      </c>
      <c r="I73" s="14">
        <v>8227.83</v>
      </c>
      <c r="J73" s="14">
        <v>8434.1759999999995</v>
      </c>
      <c r="K73" s="14">
        <v>8630.1180000000004</v>
      </c>
      <c r="L73" s="14">
        <v>8815.6560000000009</v>
      </c>
      <c r="M73" s="14">
        <v>9202.3379999999979</v>
      </c>
      <c r="N73" s="14">
        <v>9883.7999999999993</v>
      </c>
      <c r="O73" s="14">
        <v>11049.047999999999</v>
      </c>
    </row>
    <row r="74" spans="3:15" x14ac:dyDescent="0.25">
      <c r="C74" s="1" t="s">
        <v>131</v>
      </c>
      <c r="D74" s="33">
        <f t="shared" ref="D74:O74" si="32">SUM(D75:D76)</f>
        <v>14106.8125</v>
      </c>
      <c r="E74" s="33">
        <f t="shared" si="32"/>
        <v>14666.75</v>
      </c>
      <c r="F74" s="33">
        <f t="shared" si="32"/>
        <v>15454.274999999998</v>
      </c>
      <c r="G74" s="33">
        <f t="shared" si="32"/>
        <v>15974.474999999999</v>
      </c>
      <c r="H74" s="33">
        <f t="shared" si="32"/>
        <v>16689.75</v>
      </c>
      <c r="I74" s="12">
        <f t="shared" si="32"/>
        <v>17141.3125</v>
      </c>
      <c r="J74" s="12">
        <f t="shared" si="32"/>
        <v>17571.199999999997</v>
      </c>
      <c r="K74" s="12">
        <f t="shared" si="32"/>
        <v>17979.412499999999</v>
      </c>
      <c r="L74" s="12">
        <f t="shared" si="32"/>
        <v>18365.949999999997</v>
      </c>
      <c r="M74" s="12">
        <f t="shared" si="32"/>
        <v>19171.537499999999</v>
      </c>
      <c r="N74" s="12">
        <f t="shared" si="32"/>
        <v>20591.25</v>
      </c>
      <c r="O74" s="12">
        <f t="shared" si="32"/>
        <v>23018.85</v>
      </c>
    </row>
    <row r="75" spans="3:15" x14ac:dyDescent="0.25">
      <c r="C75" s="4" t="s">
        <v>137</v>
      </c>
      <c r="D75" s="34">
        <v>8464.0874999999996</v>
      </c>
      <c r="E75" s="34">
        <v>8800.0499999999993</v>
      </c>
      <c r="F75" s="34">
        <v>9272.5649999999987</v>
      </c>
      <c r="G75" s="34">
        <v>9584.6849999999995</v>
      </c>
      <c r="H75" s="34">
        <v>10013.85</v>
      </c>
      <c r="I75" s="14">
        <v>10284.7875</v>
      </c>
      <c r="J75" s="14">
        <v>10542.72</v>
      </c>
      <c r="K75" s="14">
        <v>10787.647499999999</v>
      </c>
      <c r="L75" s="14">
        <v>11019.569999999998</v>
      </c>
      <c r="M75" s="14">
        <v>11502.922500000001</v>
      </c>
      <c r="N75" s="14">
        <v>12354.75</v>
      </c>
      <c r="O75" s="14">
        <v>13811.31</v>
      </c>
    </row>
    <row r="76" spans="3:15" x14ac:dyDescent="0.25">
      <c r="C76" s="4" t="s">
        <v>138</v>
      </c>
      <c r="D76" s="34">
        <v>5642.7249999999995</v>
      </c>
      <c r="E76" s="34">
        <v>5866.7</v>
      </c>
      <c r="F76" s="34">
        <v>6181.7099999999991</v>
      </c>
      <c r="G76" s="34">
        <v>6389.79</v>
      </c>
      <c r="H76" s="34">
        <v>6675.9</v>
      </c>
      <c r="I76" s="14">
        <v>6856.5249999999996</v>
      </c>
      <c r="J76" s="14">
        <v>7028.48</v>
      </c>
      <c r="K76" s="14">
        <v>7191.7649999999994</v>
      </c>
      <c r="L76" s="14">
        <v>7346.3799999999992</v>
      </c>
      <c r="M76" s="14">
        <v>7668.6149999999998</v>
      </c>
      <c r="N76" s="14">
        <v>8236.5</v>
      </c>
      <c r="O76" s="14">
        <v>9207.5399999999991</v>
      </c>
    </row>
    <row r="77" spans="3:15" x14ac:dyDescent="0.25">
      <c r="C77" s="1" t="s">
        <v>132</v>
      </c>
      <c r="D77" s="33">
        <f t="shared" ref="D77:O77" si="33">SUM(D78:D79)</f>
        <v>14106.8125</v>
      </c>
      <c r="E77" s="33">
        <f t="shared" si="33"/>
        <v>14666.75</v>
      </c>
      <c r="F77" s="33">
        <f t="shared" si="33"/>
        <v>15454.274999999998</v>
      </c>
      <c r="G77" s="33">
        <f t="shared" si="33"/>
        <v>15974.474999999999</v>
      </c>
      <c r="H77" s="33">
        <f t="shared" si="33"/>
        <v>16689.75</v>
      </c>
      <c r="I77" s="12">
        <f t="shared" si="33"/>
        <v>17141.3125</v>
      </c>
      <c r="J77" s="12">
        <f t="shared" si="33"/>
        <v>17571.199999999997</v>
      </c>
      <c r="K77" s="12">
        <f t="shared" si="33"/>
        <v>17979.412499999999</v>
      </c>
      <c r="L77" s="12">
        <f t="shared" si="33"/>
        <v>18365.949999999997</v>
      </c>
      <c r="M77" s="12">
        <f t="shared" si="33"/>
        <v>19171.537499999999</v>
      </c>
      <c r="N77" s="12">
        <f t="shared" si="33"/>
        <v>20591.25</v>
      </c>
      <c r="O77" s="12">
        <f t="shared" si="33"/>
        <v>23018.85</v>
      </c>
    </row>
    <row r="78" spans="3:15" x14ac:dyDescent="0.25">
      <c r="C78" s="4" t="s">
        <v>139</v>
      </c>
      <c r="D78" s="34">
        <v>8464.0874999999996</v>
      </c>
      <c r="E78" s="34">
        <v>8800.0499999999993</v>
      </c>
      <c r="F78" s="34">
        <v>9272.5649999999987</v>
      </c>
      <c r="G78" s="34">
        <v>9584.6849999999995</v>
      </c>
      <c r="H78" s="34">
        <v>10013.85</v>
      </c>
      <c r="I78" s="14">
        <v>10284.7875</v>
      </c>
      <c r="J78" s="14">
        <v>10542.72</v>
      </c>
      <c r="K78" s="14">
        <v>10787.647499999999</v>
      </c>
      <c r="L78" s="14">
        <v>11019.569999999998</v>
      </c>
      <c r="M78" s="14">
        <v>11502.922500000001</v>
      </c>
      <c r="N78" s="14">
        <v>12354.75</v>
      </c>
      <c r="O78" s="14">
        <v>13811.31</v>
      </c>
    </row>
    <row r="79" spans="3:15" x14ac:dyDescent="0.25">
      <c r="C79" s="4" t="s">
        <v>140</v>
      </c>
      <c r="D79" s="34">
        <v>5642.7249999999995</v>
      </c>
      <c r="E79" s="34">
        <v>5866.7</v>
      </c>
      <c r="F79" s="34">
        <v>6181.7099999999991</v>
      </c>
      <c r="G79" s="34">
        <v>6389.79</v>
      </c>
      <c r="H79" s="34">
        <v>6675.9</v>
      </c>
      <c r="I79" s="14">
        <v>6856.5249999999996</v>
      </c>
      <c r="J79" s="14">
        <v>7028.48</v>
      </c>
      <c r="K79" s="14">
        <v>7191.7649999999994</v>
      </c>
      <c r="L79" s="14">
        <v>7346.3799999999992</v>
      </c>
      <c r="M79" s="14">
        <v>7668.6149999999998</v>
      </c>
      <c r="N79" s="14">
        <v>8236.5</v>
      </c>
      <c r="O79" s="14">
        <v>9207.5399999999991</v>
      </c>
    </row>
    <row r="80" spans="3:15" x14ac:dyDescent="0.25">
      <c r="C80" s="1" t="s">
        <v>133</v>
      </c>
      <c r="D80" s="33">
        <f t="shared" ref="D80:O80" si="34">SUM(D81:D82)</f>
        <v>5642.7250000000004</v>
      </c>
      <c r="E80" s="33">
        <f t="shared" si="34"/>
        <v>5866.6999999999989</v>
      </c>
      <c r="F80" s="33">
        <f t="shared" si="34"/>
        <v>6181.71</v>
      </c>
      <c r="G80" s="33">
        <f t="shared" si="34"/>
        <v>6389.7899999999991</v>
      </c>
      <c r="H80" s="33">
        <f t="shared" si="34"/>
        <v>6675.9</v>
      </c>
      <c r="I80" s="12">
        <f t="shared" si="34"/>
        <v>6856.5249999999996</v>
      </c>
      <c r="J80" s="12">
        <f t="shared" si="34"/>
        <v>7028.48</v>
      </c>
      <c r="K80" s="12">
        <f t="shared" si="34"/>
        <v>7191.7649999999994</v>
      </c>
      <c r="L80" s="12">
        <f t="shared" si="34"/>
        <v>7346.38</v>
      </c>
      <c r="M80" s="12">
        <f t="shared" si="34"/>
        <v>7668.6149999999989</v>
      </c>
      <c r="N80" s="12">
        <f t="shared" si="34"/>
        <v>8236.5</v>
      </c>
      <c r="O80" s="12">
        <f t="shared" si="34"/>
        <v>9207.5399999999991</v>
      </c>
    </row>
    <row r="81" spans="3:15" x14ac:dyDescent="0.25">
      <c r="C81" s="4" t="s">
        <v>141</v>
      </c>
      <c r="D81" s="34">
        <v>3385.6349999999998</v>
      </c>
      <c r="E81" s="34">
        <v>3520.0199999999995</v>
      </c>
      <c r="F81" s="34">
        <v>3709.0260000000003</v>
      </c>
      <c r="G81" s="34">
        <v>3833.8739999999993</v>
      </c>
      <c r="H81" s="34">
        <v>4005.5399999999995</v>
      </c>
      <c r="I81" s="14">
        <v>4113.915</v>
      </c>
      <c r="J81" s="14">
        <v>4217.0879999999997</v>
      </c>
      <c r="K81" s="14">
        <v>4315.0590000000002</v>
      </c>
      <c r="L81" s="14">
        <v>4407.8280000000004</v>
      </c>
      <c r="M81" s="14">
        <v>4601.168999999999</v>
      </c>
      <c r="N81" s="14">
        <v>4941.8999999999996</v>
      </c>
      <c r="O81" s="14">
        <v>5524.5239999999994</v>
      </c>
    </row>
    <row r="82" spans="3:15" x14ac:dyDescent="0.25">
      <c r="C82" s="4" t="s">
        <v>142</v>
      </c>
      <c r="D82" s="34">
        <v>2257.09</v>
      </c>
      <c r="E82" s="34">
        <v>2346.6799999999998</v>
      </c>
      <c r="F82" s="34">
        <v>2472.6839999999997</v>
      </c>
      <c r="G82" s="34">
        <v>2555.9160000000002</v>
      </c>
      <c r="H82" s="34">
        <v>2670.3599999999997</v>
      </c>
      <c r="I82" s="14">
        <v>2742.6099999999997</v>
      </c>
      <c r="J82" s="14">
        <v>2811.3919999999998</v>
      </c>
      <c r="K82" s="14">
        <v>2876.7059999999997</v>
      </c>
      <c r="L82" s="14">
        <v>2938.5519999999997</v>
      </c>
      <c r="M82" s="14">
        <v>3067.4459999999999</v>
      </c>
      <c r="N82" s="14">
        <v>3294.6</v>
      </c>
      <c r="O82" s="14">
        <v>3683.0160000000001</v>
      </c>
    </row>
    <row r="83" spans="3:15" x14ac:dyDescent="0.25">
      <c r="C83" s="1" t="s">
        <v>134</v>
      </c>
      <c r="D83" s="33">
        <f t="shared" ref="D83:O83" si="35">SUM(D84:D85)</f>
        <v>5642.7250000000004</v>
      </c>
      <c r="E83" s="33">
        <f t="shared" si="35"/>
        <v>5866.6999999999989</v>
      </c>
      <c r="F83" s="33">
        <f t="shared" si="35"/>
        <v>6181.71</v>
      </c>
      <c r="G83" s="33">
        <f t="shared" si="35"/>
        <v>6389.7899999999991</v>
      </c>
      <c r="H83" s="33">
        <f t="shared" si="35"/>
        <v>6675.9</v>
      </c>
      <c r="I83" s="12">
        <f t="shared" si="35"/>
        <v>6856.5249999999996</v>
      </c>
      <c r="J83" s="12">
        <f t="shared" si="35"/>
        <v>7028.48</v>
      </c>
      <c r="K83" s="12">
        <f t="shared" si="35"/>
        <v>7191.7649999999994</v>
      </c>
      <c r="L83" s="12">
        <f t="shared" si="35"/>
        <v>7346.38</v>
      </c>
      <c r="M83" s="12">
        <f t="shared" si="35"/>
        <v>7668.6149999999989</v>
      </c>
      <c r="N83" s="12">
        <f t="shared" si="35"/>
        <v>8236.5</v>
      </c>
      <c r="O83" s="12">
        <f t="shared" si="35"/>
        <v>9207.5399999999991</v>
      </c>
    </row>
    <row r="84" spans="3:15" x14ac:dyDescent="0.25">
      <c r="C84" s="4" t="s">
        <v>143</v>
      </c>
      <c r="D84" s="34">
        <v>3385.6349999999998</v>
      </c>
      <c r="E84" s="34">
        <v>3520.0199999999995</v>
      </c>
      <c r="F84" s="34">
        <v>3709.0260000000003</v>
      </c>
      <c r="G84" s="34">
        <v>3833.8739999999993</v>
      </c>
      <c r="H84" s="34">
        <v>4005.5399999999995</v>
      </c>
      <c r="I84" s="14">
        <v>4113.915</v>
      </c>
      <c r="J84" s="14">
        <v>4217.0879999999997</v>
      </c>
      <c r="K84" s="14">
        <v>4315.0590000000002</v>
      </c>
      <c r="L84" s="14">
        <v>4407.8280000000004</v>
      </c>
      <c r="M84" s="14">
        <v>4601.168999999999</v>
      </c>
      <c r="N84" s="14">
        <v>4941.8999999999996</v>
      </c>
      <c r="O84" s="14">
        <v>5524.5239999999994</v>
      </c>
    </row>
    <row r="85" spans="3:15" x14ac:dyDescent="0.25">
      <c r="C85" s="4" t="s">
        <v>144</v>
      </c>
      <c r="D85" s="34">
        <v>2257.09</v>
      </c>
      <c r="E85" s="34">
        <v>2346.6799999999998</v>
      </c>
      <c r="F85" s="34">
        <v>2472.6839999999997</v>
      </c>
      <c r="G85" s="34">
        <v>2555.9160000000002</v>
      </c>
      <c r="H85" s="34">
        <v>2670.3599999999997</v>
      </c>
      <c r="I85" s="14">
        <v>2742.6099999999997</v>
      </c>
      <c r="J85" s="34">
        <v>2811.3919999999998</v>
      </c>
      <c r="K85" s="14">
        <v>2876.7059999999997</v>
      </c>
      <c r="L85" s="14">
        <v>2938.5519999999997</v>
      </c>
      <c r="M85" s="14">
        <v>3067.4459999999999</v>
      </c>
      <c r="N85" s="14">
        <v>3294.6</v>
      </c>
      <c r="O85" s="14">
        <v>3683.0160000000001</v>
      </c>
    </row>
    <row r="86" spans="3:15" x14ac:dyDescent="0.25">
      <c r="D86" s="30"/>
      <c r="E86" s="30"/>
      <c r="F86" s="30"/>
      <c r="G86" s="30"/>
      <c r="H86" s="14"/>
      <c r="I86" s="14"/>
      <c r="J86" s="14"/>
      <c r="K86" s="30"/>
      <c r="L86" s="30"/>
      <c r="M86" s="30"/>
      <c r="N86" s="30"/>
      <c r="O86" s="30"/>
    </row>
    <row r="87" spans="3:15" x14ac:dyDescent="0.25">
      <c r="C87" s="114" t="s">
        <v>31</v>
      </c>
      <c r="D87" s="11">
        <f>D88+D91+D94+D97+D100</f>
        <v>50784.524999999994</v>
      </c>
      <c r="E87" s="11">
        <f t="shared" ref="E87:O87" si="36">E88+E91+E94+E97+E100</f>
        <v>52800.299999999996</v>
      </c>
      <c r="F87" s="11">
        <f t="shared" si="36"/>
        <v>55635.389999999985</v>
      </c>
      <c r="G87" s="11">
        <f t="shared" si="36"/>
        <v>57506.029200000004</v>
      </c>
      <c r="H87" s="11">
        <f t="shared" si="36"/>
        <v>60083.1</v>
      </c>
      <c r="I87" s="11">
        <f t="shared" si="36"/>
        <v>61708.724999999999</v>
      </c>
      <c r="J87" s="11">
        <f t="shared" si="36"/>
        <v>63256.319999999992</v>
      </c>
      <c r="K87" s="11">
        <f t="shared" si="36"/>
        <v>64726.116200000004</v>
      </c>
      <c r="L87" s="11">
        <f t="shared" si="36"/>
        <v>66117.42</v>
      </c>
      <c r="M87" s="11">
        <f t="shared" si="36"/>
        <v>69017.534999999989</v>
      </c>
      <c r="N87" s="11">
        <f t="shared" si="36"/>
        <v>74128.5</v>
      </c>
      <c r="O87" s="11">
        <f t="shared" si="36"/>
        <v>82869.247200000013</v>
      </c>
    </row>
    <row r="88" spans="3:15" x14ac:dyDescent="0.25">
      <c r="C88" s="1" t="s">
        <v>130</v>
      </c>
      <c r="D88" s="12">
        <f t="shared" ref="D88:O88" si="37">SUM(D89:D90)</f>
        <v>15235.357499999998</v>
      </c>
      <c r="E88" s="12">
        <f t="shared" si="37"/>
        <v>15840.09</v>
      </c>
      <c r="F88" s="12">
        <f t="shared" si="37"/>
        <v>16690.616999999998</v>
      </c>
      <c r="G88" s="12">
        <f t="shared" si="37"/>
        <v>17252.433000000001</v>
      </c>
      <c r="H88" s="12">
        <f t="shared" si="37"/>
        <v>18024.93</v>
      </c>
      <c r="I88" s="12">
        <f t="shared" si="37"/>
        <v>18512.6175</v>
      </c>
      <c r="J88" s="12">
        <f t="shared" si="37"/>
        <v>18976.896000000001</v>
      </c>
      <c r="K88" s="12">
        <f t="shared" si="37"/>
        <v>19417.418699999998</v>
      </c>
      <c r="L88" s="12">
        <f t="shared" si="37"/>
        <v>19835.225999999999</v>
      </c>
      <c r="M88" s="12">
        <f t="shared" si="37"/>
        <v>20705.260499999997</v>
      </c>
      <c r="N88" s="12">
        <f t="shared" si="37"/>
        <v>22238.549999999996</v>
      </c>
      <c r="O88" s="12">
        <f t="shared" si="37"/>
        <v>24860.358</v>
      </c>
    </row>
    <row r="89" spans="3:15" x14ac:dyDescent="0.25">
      <c r="C89" s="4" t="s">
        <v>136</v>
      </c>
      <c r="D89" s="13">
        <v>9141.2145</v>
      </c>
      <c r="E89" s="13">
        <v>9504.0540000000001</v>
      </c>
      <c r="F89" s="13">
        <v>10014.370199999999</v>
      </c>
      <c r="G89" s="13">
        <v>10351.459800000001</v>
      </c>
      <c r="H89" s="13">
        <v>10814.957999999999</v>
      </c>
      <c r="I89" s="13">
        <v>11107.5705</v>
      </c>
      <c r="J89" s="13">
        <v>11386.1376</v>
      </c>
      <c r="K89" s="13">
        <v>11650.659299999999</v>
      </c>
      <c r="L89" s="13">
        <v>11901.1356</v>
      </c>
      <c r="M89" s="13">
        <v>12423.156299999999</v>
      </c>
      <c r="N89" s="13">
        <v>13343.13</v>
      </c>
      <c r="O89" s="13">
        <v>14916.214799999998</v>
      </c>
    </row>
    <row r="90" spans="3:15" x14ac:dyDescent="0.25">
      <c r="C90" s="4" t="s">
        <v>135</v>
      </c>
      <c r="D90" s="13">
        <v>6094.1429999999991</v>
      </c>
      <c r="E90" s="13">
        <v>6336.0360000000001</v>
      </c>
      <c r="F90" s="13">
        <v>6676.246799999999</v>
      </c>
      <c r="G90" s="13">
        <v>6900.9732000000004</v>
      </c>
      <c r="H90" s="13">
        <v>7209.9719999999998</v>
      </c>
      <c r="I90" s="13">
        <v>7405.0469999999996</v>
      </c>
      <c r="J90" s="35">
        <v>7590.7583999999997</v>
      </c>
      <c r="K90" s="13">
        <v>7766.759399999999</v>
      </c>
      <c r="L90" s="13">
        <v>7934.0904</v>
      </c>
      <c r="M90" s="13">
        <v>8282.1041999999998</v>
      </c>
      <c r="N90" s="13">
        <v>8895.4199999999983</v>
      </c>
      <c r="O90" s="13">
        <v>9944.1432000000004</v>
      </c>
    </row>
    <row r="91" spans="3:15" x14ac:dyDescent="0.25">
      <c r="C91" s="1" t="s">
        <v>131</v>
      </c>
      <c r="D91" s="12">
        <f t="shared" ref="D91:O91" si="38">SUM(D92:D93)</f>
        <v>12696.131249999999</v>
      </c>
      <c r="E91" s="12">
        <f t="shared" si="38"/>
        <v>13200.074999999999</v>
      </c>
      <c r="F91" s="12">
        <f t="shared" si="38"/>
        <v>13908.847499999998</v>
      </c>
      <c r="G91" s="12">
        <f t="shared" si="38"/>
        <v>14377.0275</v>
      </c>
      <c r="H91" s="12">
        <f t="shared" si="38"/>
        <v>15020.775</v>
      </c>
      <c r="I91" s="12">
        <f t="shared" si="38"/>
        <v>15427.18125</v>
      </c>
      <c r="J91" s="12">
        <f t="shared" si="38"/>
        <v>15814.079999999998</v>
      </c>
      <c r="K91" s="12">
        <f t="shared" si="38"/>
        <v>16181.90475</v>
      </c>
      <c r="L91" s="12">
        <f t="shared" si="38"/>
        <v>16529.355</v>
      </c>
      <c r="M91" s="12">
        <f t="shared" si="38"/>
        <v>17254.383749999997</v>
      </c>
      <c r="N91" s="12">
        <f t="shared" si="38"/>
        <v>18532.125</v>
      </c>
      <c r="O91" s="12">
        <f t="shared" si="38"/>
        <v>20716.965000000004</v>
      </c>
    </row>
    <row r="92" spans="3:15" x14ac:dyDescent="0.25">
      <c r="C92" s="4" t="s">
        <v>137</v>
      </c>
      <c r="D92" s="13">
        <v>7617.67875</v>
      </c>
      <c r="E92" s="13">
        <v>7920.0449999999992</v>
      </c>
      <c r="F92" s="13">
        <v>8345.3084999999992</v>
      </c>
      <c r="G92" s="13">
        <v>8626.2165000000005</v>
      </c>
      <c r="H92" s="13">
        <v>9012.4650000000001</v>
      </c>
      <c r="I92" s="13">
        <v>9256.3087500000001</v>
      </c>
      <c r="J92" s="13">
        <v>9488.4479999999985</v>
      </c>
      <c r="K92" s="13">
        <v>9709.3162499999999</v>
      </c>
      <c r="L92" s="13">
        <v>9917.6129999999994</v>
      </c>
      <c r="M92" s="13">
        <v>10352.630249999998</v>
      </c>
      <c r="N92" s="13">
        <v>11119.275</v>
      </c>
      <c r="O92" s="13">
        <v>12430.179000000002</v>
      </c>
    </row>
    <row r="93" spans="3:15" x14ac:dyDescent="0.25">
      <c r="C93" s="4" t="s">
        <v>138</v>
      </c>
      <c r="D93" s="13">
        <v>5078.4524999999994</v>
      </c>
      <c r="E93" s="13">
        <v>5280.03</v>
      </c>
      <c r="F93" s="13">
        <v>5563.5389999999989</v>
      </c>
      <c r="G93" s="13">
        <v>5750.8109999999997</v>
      </c>
      <c r="H93" s="13">
        <v>6008.3099999999995</v>
      </c>
      <c r="I93" s="13">
        <v>6170.8724999999995</v>
      </c>
      <c r="J93" s="13">
        <v>6325.6319999999996</v>
      </c>
      <c r="K93" s="13">
        <v>6472.5884999999998</v>
      </c>
      <c r="L93" s="13">
        <v>6611.7420000000002</v>
      </c>
      <c r="M93" s="13">
        <v>6901.7534999999998</v>
      </c>
      <c r="N93" s="13">
        <v>7412.8499999999995</v>
      </c>
      <c r="O93" s="13">
        <v>8286.7860000000001</v>
      </c>
    </row>
    <row r="94" spans="3:15" x14ac:dyDescent="0.25">
      <c r="C94" s="1" t="s">
        <v>132</v>
      </c>
      <c r="D94" s="12">
        <f t="shared" ref="D94:O94" si="39">SUM(D95:D96)</f>
        <v>12696.131249999999</v>
      </c>
      <c r="E94" s="12">
        <f t="shared" si="39"/>
        <v>13200.074999999999</v>
      </c>
      <c r="F94" s="12">
        <f t="shared" si="39"/>
        <v>13908.847499999998</v>
      </c>
      <c r="G94" s="12">
        <f t="shared" si="39"/>
        <v>14377.0275</v>
      </c>
      <c r="H94" s="12">
        <f t="shared" si="39"/>
        <v>15020.775</v>
      </c>
      <c r="I94" s="12">
        <f t="shared" si="39"/>
        <v>15427.18125</v>
      </c>
      <c r="J94" s="12">
        <f t="shared" si="39"/>
        <v>15814.079999999998</v>
      </c>
      <c r="K94" s="12">
        <f t="shared" si="39"/>
        <v>16181.90475</v>
      </c>
      <c r="L94" s="12">
        <f t="shared" si="39"/>
        <v>16529.355</v>
      </c>
      <c r="M94" s="12">
        <f t="shared" si="39"/>
        <v>17254.383749999997</v>
      </c>
      <c r="N94" s="12">
        <f t="shared" si="39"/>
        <v>18532.125</v>
      </c>
      <c r="O94" s="12">
        <f t="shared" si="39"/>
        <v>20716.965000000004</v>
      </c>
    </row>
    <row r="95" spans="3:15" x14ac:dyDescent="0.25">
      <c r="C95" s="4" t="s">
        <v>139</v>
      </c>
      <c r="D95" s="13">
        <v>7617.67875</v>
      </c>
      <c r="E95" s="13">
        <v>7920.0449999999992</v>
      </c>
      <c r="F95" s="13">
        <v>8345.3084999999992</v>
      </c>
      <c r="G95" s="13">
        <v>8626.2165000000005</v>
      </c>
      <c r="H95" s="13">
        <v>9012.4650000000001</v>
      </c>
      <c r="I95" s="13">
        <v>9256.3087500000001</v>
      </c>
      <c r="J95" s="13">
        <v>9488.4479999999985</v>
      </c>
      <c r="K95" s="13">
        <v>9709.3162499999999</v>
      </c>
      <c r="L95" s="13">
        <v>9917.6129999999994</v>
      </c>
      <c r="M95" s="13">
        <v>10352.630249999998</v>
      </c>
      <c r="N95" s="13">
        <v>11119.275</v>
      </c>
      <c r="O95" s="13">
        <v>12430.179000000002</v>
      </c>
    </row>
    <row r="96" spans="3:15" x14ac:dyDescent="0.25">
      <c r="C96" s="4" t="s">
        <v>140</v>
      </c>
      <c r="D96" s="13">
        <v>5078.4524999999994</v>
      </c>
      <c r="E96" s="13">
        <v>5280.03</v>
      </c>
      <c r="F96" s="13">
        <v>5563.5389999999989</v>
      </c>
      <c r="G96" s="13">
        <v>5750.8109999999997</v>
      </c>
      <c r="H96" s="13">
        <v>6008.3099999999995</v>
      </c>
      <c r="I96" s="13">
        <v>6170.8724999999995</v>
      </c>
      <c r="J96" s="13">
        <v>6325.6319999999996</v>
      </c>
      <c r="K96" s="13">
        <v>6472.5884999999998</v>
      </c>
      <c r="L96" s="13">
        <v>6611.7420000000002</v>
      </c>
      <c r="M96" s="13">
        <v>6901.7534999999998</v>
      </c>
      <c r="N96" s="13">
        <v>7412.8499999999995</v>
      </c>
      <c r="O96" s="13">
        <v>8286.7860000000001</v>
      </c>
    </row>
    <row r="97" spans="3:15" x14ac:dyDescent="0.25">
      <c r="C97" s="1" t="s">
        <v>133</v>
      </c>
      <c r="D97" s="12">
        <f t="shared" ref="D97:O97" si="40">SUM(D98:D99)</f>
        <v>5078.4524999999994</v>
      </c>
      <c r="E97" s="12">
        <f t="shared" si="40"/>
        <v>5280.03</v>
      </c>
      <c r="F97" s="12">
        <f t="shared" si="40"/>
        <v>5563.5389999999989</v>
      </c>
      <c r="G97" s="12">
        <f t="shared" si="40"/>
        <v>5749.7705999999998</v>
      </c>
      <c r="H97" s="12">
        <f t="shared" si="40"/>
        <v>6008.3099999999995</v>
      </c>
      <c r="I97" s="12">
        <f t="shared" si="40"/>
        <v>6170.8724999999995</v>
      </c>
      <c r="J97" s="12">
        <f t="shared" si="40"/>
        <v>6325.6319999999996</v>
      </c>
      <c r="K97" s="12">
        <f t="shared" si="40"/>
        <v>6472.4439999999995</v>
      </c>
      <c r="L97" s="12">
        <f t="shared" si="40"/>
        <v>6611.7420000000002</v>
      </c>
      <c r="M97" s="12">
        <f t="shared" si="40"/>
        <v>6901.7534999999998</v>
      </c>
      <c r="N97" s="12">
        <f t="shared" si="40"/>
        <v>7412.8499999999985</v>
      </c>
      <c r="O97" s="12">
        <f t="shared" si="40"/>
        <v>8287.4796000000006</v>
      </c>
    </row>
    <row r="98" spans="3:15" x14ac:dyDescent="0.25">
      <c r="C98" s="4" t="s">
        <v>141</v>
      </c>
      <c r="D98" s="13">
        <v>3047.0714999999996</v>
      </c>
      <c r="E98" s="13">
        <v>3168.018</v>
      </c>
      <c r="F98" s="13">
        <v>3338.1233999999995</v>
      </c>
      <c r="G98" s="13">
        <v>3450.4866000000002</v>
      </c>
      <c r="H98" s="13">
        <v>3604.9859999999999</v>
      </c>
      <c r="I98" s="13">
        <v>3702.5234999999998</v>
      </c>
      <c r="J98" s="13">
        <v>3795.3791999999999</v>
      </c>
      <c r="K98" s="13">
        <v>3883.4086000000002</v>
      </c>
      <c r="L98" s="13">
        <v>3967.0452</v>
      </c>
      <c r="M98" s="13">
        <v>4141.0520999999999</v>
      </c>
      <c r="N98" s="13">
        <v>4447.7099999999991</v>
      </c>
      <c r="O98" s="13">
        <v>4972.7651999999998</v>
      </c>
    </row>
    <row r="99" spans="3:15" x14ac:dyDescent="0.25">
      <c r="C99" s="4" t="s">
        <v>142</v>
      </c>
      <c r="D99" s="13">
        <v>2031.3809999999996</v>
      </c>
      <c r="E99" s="13">
        <v>2112.0119999999997</v>
      </c>
      <c r="F99" s="13">
        <v>2225.4155999999998</v>
      </c>
      <c r="G99" s="13">
        <v>2299.2840000000001</v>
      </c>
      <c r="H99" s="13">
        <v>2403.3240000000001</v>
      </c>
      <c r="I99" s="13">
        <v>2468.3490000000002</v>
      </c>
      <c r="J99" s="13">
        <v>2530.2527999999998</v>
      </c>
      <c r="K99" s="13">
        <v>2589.0353999999998</v>
      </c>
      <c r="L99" s="13">
        <v>2644.6967999999997</v>
      </c>
      <c r="M99" s="13">
        <v>2760.7013999999999</v>
      </c>
      <c r="N99" s="13">
        <v>2965.14</v>
      </c>
      <c r="O99" s="13">
        <v>3314.7144000000003</v>
      </c>
    </row>
    <row r="100" spans="3:15" x14ac:dyDescent="0.25">
      <c r="C100" s="1" t="s">
        <v>134</v>
      </c>
      <c r="D100" s="12">
        <f t="shared" ref="D100:O100" si="41">SUM(D101:D102)</f>
        <v>5078.4524999999994</v>
      </c>
      <c r="E100" s="12">
        <f t="shared" si="41"/>
        <v>5280.03</v>
      </c>
      <c r="F100" s="12">
        <f t="shared" si="41"/>
        <v>5563.5389999999989</v>
      </c>
      <c r="G100" s="12">
        <f t="shared" si="41"/>
        <v>5749.7705999999998</v>
      </c>
      <c r="H100" s="12">
        <f t="shared" si="41"/>
        <v>6008.3099999999995</v>
      </c>
      <c r="I100" s="12">
        <f t="shared" si="41"/>
        <v>6170.8724999999995</v>
      </c>
      <c r="J100" s="12">
        <f t="shared" si="41"/>
        <v>6325.6319999999996</v>
      </c>
      <c r="K100" s="12">
        <f t="shared" si="41"/>
        <v>6472.4439999999995</v>
      </c>
      <c r="L100" s="12">
        <f t="shared" si="41"/>
        <v>6611.7420000000002</v>
      </c>
      <c r="M100" s="12">
        <f t="shared" si="41"/>
        <v>6901.7534999999998</v>
      </c>
      <c r="N100" s="12">
        <f t="shared" si="41"/>
        <v>7412.8499999999985</v>
      </c>
      <c r="O100" s="12">
        <f t="shared" si="41"/>
        <v>8287.4796000000006</v>
      </c>
    </row>
    <row r="101" spans="3:15" x14ac:dyDescent="0.25">
      <c r="C101" s="4" t="s">
        <v>143</v>
      </c>
      <c r="D101" s="13">
        <v>3047.0714999999996</v>
      </c>
      <c r="E101" s="13">
        <v>3168.018</v>
      </c>
      <c r="F101" s="13">
        <v>3338.1233999999995</v>
      </c>
      <c r="G101" s="13">
        <v>3450.4866000000002</v>
      </c>
      <c r="H101" s="13">
        <v>3604.9859999999999</v>
      </c>
      <c r="I101" s="13">
        <v>3702.5234999999998</v>
      </c>
      <c r="J101" s="13">
        <v>3795.3791999999999</v>
      </c>
      <c r="K101" s="13">
        <v>3883.4086000000002</v>
      </c>
      <c r="L101" s="13">
        <v>3967.0452</v>
      </c>
      <c r="M101" s="13">
        <v>4141.0520999999999</v>
      </c>
      <c r="N101" s="13">
        <v>4447.7099999999991</v>
      </c>
      <c r="O101" s="13">
        <v>4972.7651999999998</v>
      </c>
    </row>
    <row r="102" spans="3:15" x14ac:dyDescent="0.25">
      <c r="C102" s="4" t="s">
        <v>144</v>
      </c>
      <c r="D102" s="13">
        <v>2031.3809999999996</v>
      </c>
      <c r="E102" s="13">
        <v>2112.0119999999997</v>
      </c>
      <c r="F102" s="13">
        <v>2225.4155999999998</v>
      </c>
      <c r="G102" s="13">
        <v>2299.2840000000001</v>
      </c>
      <c r="H102" s="13">
        <v>2403.3240000000001</v>
      </c>
      <c r="I102" s="13">
        <v>2468.3490000000002</v>
      </c>
      <c r="J102" s="13">
        <v>2530.2527999999998</v>
      </c>
      <c r="K102" s="13">
        <v>2589.0353999999998</v>
      </c>
      <c r="L102" s="13">
        <v>2644.6967999999997</v>
      </c>
      <c r="M102" s="13">
        <v>2760.7013999999999</v>
      </c>
      <c r="N102" s="13">
        <v>2965.14</v>
      </c>
      <c r="O102" s="13">
        <v>3314.7144000000003</v>
      </c>
    </row>
    <row r="103" spans="3:15" x14ac:dyDescent="0.25"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</row>
    <row r="104" spans="3:15" x14ac:dyDescent="0.25">
      <c r="C104" s="7" t="s">
        <v>32</v>
      </c>
      <c r="D104" s="10">
        <f t="shared" ref="D104:O104" si="42">D7-D35</f>
        <v>261205.72499999998</v>
      </c>
      <c r="E104" s="10">
        <f t="shared" si="42"/>
        <v>279742.7</v>
      </c>
      <c r="F104" s="10">
        <f t="shared" si="42"/>
        <v>303620.51</v>
      </c>
      <c r="G104" s="10">
        <f t="shared" si="42"/>
        <v>332971.1508</v>
      </c>
      <c r="H104" s="10">
        <f t="shared" si="42"/>
        <v>358327.9</v>
      </c>
      <c r="I104" s="10">
        <f t="shared" si="42"/>
        <v>379083.52500000002</v>
      </c>
      <c r="J104" s="10">
        <f t="shared" si="42"/>
        <v>400282.88</v>
      </c>
      <c r="K104" s="10">
        <f t="shared" si="42"/>
        <v>421925.37379999994</v>
      </c>
      <c r="L104" s="10">
        <f t="shared" si="42"/>
        <v>444012.75</v>
      </c>
      <c r="M104" s="10">
        <f t="shared" si="42"/>
        <v>477520.81499999994</v>
      </c>
      <c r="N104" s="10">
        <f t="shared" si="42"/>
        <v>528456.5</v>
      </c>
      <c r="O104" s="10">
        <f t="shared" si="42"/>
        <v>608757.35279999999</v>
      </c>
    </row>
    <row r="105" spans="3:15" x14ac:dyDescent="0.25"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</row>
    <row r="106" spans="3:15" x14ac:dyDescent="0.25">
      <c r="C106" s="114" t="s">
        <v>33</v>
      </c>
      <c r="D106" s="11">
        <f>SUM(D107:D111)</f>
        <v>261205.72500000001</v>
      </c>
      <c r="E106" s="11">
        <f>SUM(E107:E111)</f>
        <v>279742.69999999995</v>
      </c>
      <c r="F106" s="11">
        <f>SUM(F107:F111)</f>
        <v>303620.51</v>
      </c>
      <c r="G106" s="11">
        <f t="shared" ref="G106:O106" si="43">SUM(G107:G111)</f>
        <v>332971.15080000006</v>
      </c>
      <c r="H106" s="11">
        <f t="shared" si="43"/>
        <v>358327.9</v>
      </c>
      <c r="I106" s="11">
        <f t="shared" si="43"/>
        <v>379083.52500000002</v>
      </c>
      <c r="J106" s="11">
        <f t="shared" si="43"/>
        <v>400282.88</v>
      </c>
      <c r="K106" s="11">
        <f t="shared" si="43"/>
        <v>421925.37379999994</v>
      </c>
      <c r="L106" s="11">
        <f t="shared" si="43"/>
        <v>444012.75</v>
      </c>
      <c r="M106" s="11">
        <f t="shared" si="43"/>
        <v>477520.81499999994</v>
      </c>
      <c r="N106" s="11">
        <f t="shared" si="43"/>
        <v>528456.5</v>
      </c>
      <c r="O106" s="11">
        <f t="shared" si="43"/>
        <v>608757.35279999999</v>
      </c>
    </row>
    <row r="107" spans="3:15" x14ac:dyDescent="0.25">
      <c r="C107" s="1" t="s">
        <v>130</v>
      </c>
      <c r="D107" s="8">
        <f t="shared" ref="D107:O107" si="44">D27-D37</f>
        <v>78361.717499999999</v>
      </c>
      <c r="E107" s="8">
        <f t="shared" si="44"/>
        <v>83922.81</v>
      </c>
      <c r="F107" s="8">
        <f t="shared" si="44"/>
        <v>91086.15300000002</v>
      </c>
      <c r="G107" s="8">
        <f t="shared" si="44"/>
        <v>99891.296999999991</v>
      </c>
      <c r="H107" s="8">
        <f t="shared" si="44"/>
        <v>107498.37000000001</v>
      </c>
      <c r="I107" s="8">
        <f t="shared" si="44"/>
        <v>113725.05750000001</v>
      </c>
      <c r="J107" s="8">
        <f t="shared" si="44"/>
        <v>120084.864</v>
      </c>
      <c r="K107" s="8">
        <f t="shared" si="44"/>
        <v>126577.7763</v>
      </c>
      <c r="L107" s="8">
        <f t="shared" si="44"/>
        <v>133203.804</v>
      </c>
      <c r="M107" s="8">
        <f t="shared" si="44"/>
        <v>143256.2445</v>
      </c>
      <c r="N107" s="8">
        <f t="shared" si="44"/>
        <v>158536.95000000001</v>
      </c>
      <c r="O107" s="8">
        <f t="shared" si="44"/>
        <v>182627.622</v>
      </c>
    </row>
    <row r="108" spans="3:15" x14ac:dyDescent="0.25">
      <c r="C108" s="1" t="s">
        <v>131</v>
      </c>
      <c r="D108" s="8">
        <f t="shared" ref="D108:O108" si="45">D28-D40</f>
        <v>65301.431249999994</v>
      </c>
      <c r="E108" s="8">
        <f t="shared" si="45"/>
        <v>69935.675000000003</v>
      </c>
      <c r="F108" s="8">
        <f t="shared" si="45"/>
        <v>75905.127500000002</v>
      </c>
      <c r="G108" s="8">
        <f t="shared" si="45"/>
        <v>83242.747499999998</v>
      </c>
      <c r="H108" s="8">
        <f t="shared" si="45"/>
        <v>89581.975000000006</v>
      </c>
      <c r="I108" s="8">
        <f t="shared" si="45"/>
        <v>94770.881250000006</v>
      </c>
      <c r="J108" s="8">
        <f t="shared" si="45"/>
        <v>100070.72</v>
      </c>
      <c r="K108" s="8">
        <f t="shared" si="45"/>
        <v>105481.05775000001</v>
      </c>
      <c r="L108" s="8">
        <f t="shared" si="45"/>
        <v>111003.19500000001</v>
      </c>
      <c r="M108" s="8">
        <f t="shared" si="45"/>
        <v>119380.20375</v>
      </c>
      <c r="N108" s="8">
        <f t="shared" si="45"/>
        <v>132114.125</v>
      </c>
      <c r="O108" s="8">
        <f t="shared" si="45"/>
        <v>152189.685</v>
      </c>
    </row>
    <row r="109" spans="3:15" x14ac:dyDescent="0.25">
      <c r="C109" s="1" t="s">
        <v>132</v>
      </c>
      <c r="D109" s="8">
        <f t="shared" ref="D109:O109" si="46">D29-D43</f>
        <v>65301.431249999994</v>
      </c>
      <c r="E109" s="8">
        <f t="shared" si="46"/>
        <v>69935.675000000003</v>
      </c>
      <c r="F109" s="8">
        <f t="shared" si="46"/>
        <v>75905.127500000002</v>
      </c>
      <c r="G109" s="8">
        <f t="shared" si="46"/>
        <v>83242.747499999998</v>
      </c>
      <c r="H109" s="8">
        <f t="shared" si="46"/>
        <v>89581.975000000006</v>
      </c>
      <c r="I109" s="8">
        <f t="shared" si="46"/>
        <v>94770.881250000006</v>
      </c>
      <c r="J109" s="8">
        <f t="shared" si="46"/>
        <v>100070.72</v>
      </c>
      <c r="K109" s="8">
        <f t="shared" si="46"/>
        <v>105481.05775000001</v>
      </c>
      <c r="L109" s="8">
        <f t="shared" si="46"/>
        <v>111003.19500000001</v>
      </c>
      <c r="M109" s="8">
        <f t="shared" si="46"/>
        <v>119380.20375</v>
      </c>
      <c r="N109" s="8">
        <f t="shared" si="46"/>
        <v>132114.125</v>
      </c>
      <c r="O109" s="8">
        <f t="shared" si="46"/>
        <v>152189.685</v>
      </c>
    </row>
    <row r="110" spans="3:15" x14ac:dyDescent="0.25">
      <c r="C110" s="1" t="s">
        <v>133</v>
      </c>
      <c r="D110" s="8">
        <f t="shared" ref="D110:O110" si="47">D30-D46</f>
        <v>26120.572500000002</v>
      </c>
      <c r="E110" s="8">
        <f t="shared" si="47"/>
        <v>27974.27</v>
      </c>
      <c r="F110" s="8">
        <f t="shared" si="47"/>
        <v>30362.051000000003</v>
      </c>
      <c r="G110" s="8">
        <f t="shared" si="47"/>
        <v>33297.179399999994</v>
      </c>
      <c r="H110" s="8">
        <f t="shared" si="47"/>
        <v>35832.789999999994</v>
      </c>
      <c r="I110" s="8">
        <f t="shared" si="47"/>
        <v>37908.352500000001</v>
      </c>
      <c r="J110" s="8">
        <f t="shared" si="47"/>
        <v>40028.288</v>
      </c>
      <c r="K110" s="8">
        <f t="shared" si="47"/>
        <v>42192.741000000002</v>
      </c>
      <c r="L110" s="8">
        <f t="shared" si="47"/>
        <v>44401.277999999998</v>
      </c>
      <c r="M110" s="8">
        <f t="shared" si="47"/>
        <v>47752.0815</v>
      </c>
      <c r="N110" s="8">
        <f t="shared" si="47"/>
        <v>52845.649999999994</v>
      </c>
      <c r="O110" s="8">
        <f t="shared" si="47"/>
        <v>60875.180399999997</v>
      </c>
    </row>
    <row r="111" spans="3:15" x14ac:dyDescent="0.25">
      <c r="C111" s="1" t="s">
        <v>134</v>
      </c>
      <c r="D111" s="8">
        <f t="shared" ref="D111:O111" si="48">D31-D49</f>
        <v>26120.572500000002</v>
      </c>
      <c r="E111" s="8">
        <f>E31-E49</f>
        <v>27974.27</v>
      </c>
      <c r="F111" s="8">
        <f t="shared" si="48"/>
        <v>30362.051000000003</v>
      </c>
      <c r="G111" s="8">
        <f t="shared" si="48"/>
        <v>33297.179399999994</v>
      </c>
      <c r="H111" s="8">
        <f t="shared" si="48"/>
        <v>35832.789999999994</v>
      </c>
      <c r="I111" s="8">
        <f t="shared" si="48"/>
        <v>37908.352500000001</v>
      </c>
      <c r="J111" s="8">
        <f t="shared" si="48"/>
        <v>40028.288</v>
      </c>
      <c r="K111" s="8">
        <f t="shared" si="48"/>
        <v>42192.741000000002</v>
      </c>
      <c r="L111" s="8">
        <f t="shared" si="48"/>
        <v>44401.277999999998</v>
      </c>
      <c r="M111" s="8">
        <f t="shared" si="48"/>
        <v>47752.0815</v>
      </c>
      <c r="N111" s="8">
        <f t="shared" si="48"/>
        <v>52845.649999999994</v>
      </c>
      <c r="O111" s="8">
        <f t="shared" si="48"/>
        <v>60875.180399999997</v>
      </c>
    </row>
    <row r="112" spans="3:15" x14ac:dyDescent="0.25">
      <c r="C112" s="1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</row>
    <row r="113" spans="3:15" x14ac:dyDescent="0.25">
      <c r="C113" s="7" t="s">
        <v>34</v>
      </c>
      <c r="D113" s="10">
        <f t="shared" ref="D113:O113" si="49">D115+D122</f>
        <v>165000</v>
      </c>
      <c r="E113" s="10">
        <f t="shared" si="49"/>
        <v>174000</v>
      </c>
      <c r="F113" s="10">
        <f t="shared" si="49"/>
        <v>186000</v>
      </c>
      <c r="G113" s="10">
        <f t="shared" si="49"/>
        <v>198000</v>
      </c>
      <c r="H113" s="10">
        <f t="shared" si="49"/>
        <v>210000</v>
      </c>
      <c r="I113" s="10">
        <f t="shared" si="49"/>
        <v>219000</v>
      </c>
      <c r="J113" s="10">
        <f t="shared" si="49"/>
        <v>228000</v>
      </c>
      <c r="K113" s="10">
        <f t="shared" si="49"/>
        <v>237000</v>
      </c>
      <c r="L113" s="10">
        <f t="shared" si="49"/>
        <v>246000</v>
      </c>
      <c r="M113" s="10">
        <f t="shared" si="49"/>
        <v>261000</v>
      </c>
      <c r="N113" s="10">
        <f t="shared" si="49"/>
        <v>285000</v>
      </c>
      <c r="O113" s="10">
        <f t="shared" si="49"/>
        <v>324000</v>
      </c>
    </row>
    <row r="114" spans="3:15" x14ac:dyDescent="0.25"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</row>
    <row r="115" spans="3:15" x14ac:dyDescent="0.25">
      <c r="C115" s="114" t="s">
        <v>114</v>
      </c>
      <c r="D115" s="11">
        <f>SUM(D116:D120)</f>
        <v>93500</v>
      </c>
      <c r="E115" s="11">
        <f t="shared" ref="E115:N115" si="50">SUM(E116:E120)</f>
        <v>98600</v>
      </c>
      <c r="F115" s="11">
        <f t="shared" si="50"/>
        <v>105400</v>
      </c>
      <c r="G115" s="11">
        <f t="shared" si="50"/>
        <v>112200</v>
      </c>
      <c r="H115" s="11">
        <f t="shared" si="50"/>
        <v>119000</v>
      </c>
      <c r="I115" s="11">
        <f t="shared" si="50"/>
        <v>124100</v>
      </c>
      <c r="J115" s="11">
        <f t="shared" si="50"/>
        <v>129200</v>
      </c>
      <c r="K115" s="11">
        <f t="shared" si="50"/>
        <v>134300</v>
      </c>
      <c r="L115" s="11">
        <f t="shared" si="50"/>
        <v>139400</v>
      </c>
      <c r="M115" s="11">
        <f t="shared" si="50"/>
        <v>147900</v>
      </c>
      <c r="N115" s="11">
        <f t="shared" si="50"/>
        <v>161500</v>
      </c>
      <c r="O115" s="11">
        <f>SUM(O116:O120)</f>
        <v>183600</v>
      </c>
    </row>
    <row r="116" spans="3:15" x14ac:dyDescent="0.25">
      <c r="C116" s="1" t="s">
        <v>36</v>
      </c>
      <c r="D116" s="13">
        <v>24000</v>
      </c>
      <c r="E116" s="13">
        <v>25300</v>
      </c>
      <c r="F116" s="13">
        <v>27000</v>
      </c>
      <c r="G116" s="13">
        <v>28800</v>
      </c>
      <c r="H116" s="13">
        <v>30500</v>
      </c>
      <c r="I116" s="13">
        <v>31800</v>
      </c>
      <c r="J116" s="13">
        <v>33100</v>
      </c>
      <c r="K116" s="13">
        <v>34400</v>
      </c>
      <c r="L116" s="13">
        <v>35700</v>
      </c>
      <c r="M116" s="13">
        <v>37900</v>
      </c>
      <c r="N116" s="13">
        <v>41400</v>
      </c>
      <c r="O116" s="13">
        <v>47000</v>
      </c>
    </row>
    <row r="117" spans="3:15" x14ac:dyDescent="0.25">
      <c r="C117" s="1" t="s">
        <v>37</v>
      </c>
      <c r="D117" s="13">
        <v>13000</v>
      </c>
      <c r="E117" s="13">
        <v>13600</v>
      </c>
      <c r="F117" s="13">
        <v>14500</v>
      </c>
      <c r="G117" s="13">
        <v>15400</v>
      </c>
      <c r="H117" s="13">
        <v>16300</v>
      </c>
      <c r="I117" s="13">
        <v>17000</v>
      </c>
      <c r="J117" s="13">
        <v>17700</v>
      </c>
      <c r="K117" s="13">
        <v>18400</v>
      </c>
      <c r="L117" s="13">
        <v>19100</v>
      </c>
      <c r="M117" s="13">
        <v>20300</v>
      </c>
      <c r="N117" s="13">
        <v>22200</v>
      </c>
      <c r="O117" s="13">
        <v>25200</v>
      </c>
    </row>
    <row r="118" spans="3:15" x14ac:dyDescent="0.25">
      <c r="C118" s="1" t="s">
        <v>38</v>
      </c>
      <c r="D118" s="13">
        <v>11000</v>
      </c>
      <c r="E118" s="13">
        <v>11600</v>
      </c>
      <c r="F118" s="13">
        <v>12300</v>
      </c>
      <c r="G118" s="13">
        <v>13000</v>
      </c>
      <c r="H118" s="13">
        <v>13700</v>
      </c>
      <c r="I118" s="13">
        <v>14300</v>
      </c>
      <c r="J118" s="13">
        <v>14900</v>
      </c>
      <c r="K118" s="13">
        <v>15500</v>
      </c>
      <c r="L118" s="13">
        <v>16100</v>
      </c>
      <c r="M118" s="13">
        <v>17100</v>
      </c>
      <c r="N118" s="13">
        <v>18700</v>
      </c>
      <c r="O118" s="13">
        <v>21200</v>
      </c>
    </row>
    <row r="119" spans="3:15" x14ac:dyDescent="0.25">
      <c r="C119" s="1" t="s">
        <v>39</v>
      </c>
      <c r="D119" s="13">
        <v>19500</v>
      </c>
      <c r="E119" s="13">
        <v>20500</v>
      </c>
      <c r="F119" s="13">
        <v>22000</v>
      </c>
      <c r="G119" s="13">
        <v>23400</v>
      </c>
      <c r="H119" s="13">
        <v>24900</v>
      </c>
      <c r="I119" s="13">
        <v>26000</v>
      </c>
      <c r="J119" s="13">
        <v>27100</v>
      </c>
      <c r="K119" s="13">
        <v>28200</v>
      </c>
      <c r="L119" s="13">
        <v>29300</v>
      </c>
      <c r="M119" s="13">
        <v>31100</v>
      </c>
      <c r="N119" s="13">
        <v>34000</v>
      </c>
      <c r="O119" s="13">
        <v>38600</v>
      </c>
    </row>
    <row r="120" spans="3:15" x14ac:dyDescent="0.25">
      <c r="C120" s="1" t="s">
        <v>40</v>
      </c>
      <c r="D120" s="13">
        <v>26000</v>
      </c>
      <c r="E120" s="13">
        <v>27600</v>
      </c>
      <c r="F120" s="13">
        <v>29600</v>
      </c>
      <c r="G120" s="13">
        <v>31600</v>
      </c>
      <c r="H120" s="13">
        <v>33600</v>
      </c>
      <c r="I120" s="13">
        <v>35000</v>
      </c>
      <c r="J120" s="13">
        <v>36400</v>
      </c>
      <c r="K120" s="13">
        <v>37800</v>
      </c>
      <c r="L120" s="13">
        <v>39200</v>
      </c>
      <c r="M120" s="13">
        <v>41500</v>
      </c>
      <c r="N120" s="13">
        <v>45200</v>
      </c>
      <c r="O120" s="13">
        <v>51600</v>
      </c>
    </row>
    <row r="121" spans="3:15" x14ac:dyDescent="0.25"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</row>
    <row r="122" spans="3:15" x14ac:dyDescent="0.25">
      <c r="C122" s="114" t="s">
        <v>115</v>
      </c>
      <c r="D122" s="11">
        <f>SUM(D123:D127)</f>
        <v>71500</v>
      </c>
      <c r="E122" s="11">
        <f t="shared" ref="E122:O122" si="51">SUM(E123:E127)</f>
        <v>75400</v>
      </c>
      <c r="F122" s="11">
        <f t="shared" si="51"/>
        <v>80600</v>
      </c>
      <c r="G122" s="11">
        <f t="shared" si="51"/>
        <v>85800</v>
      </c>
      <c r="H122" s="11">
        <f t="shared" si="51"/>
        <v>91000</v>
      </c>
      <c r="I122" s="11">
        <f t="shared" si="51"/>
        <v>94900</v>
      </c>
      <c r="J122" s="11">
        <f t="shared" si="51"/>
        <v>98800</v>
      </c>
      <c r="K122" s="11">
        <f t="shared" si="51"/>
        <v>102700</v>
      </c>
      <c r="L122" s="11">
        <f t="shared" si="51"/>
        <v>106600</v>
      </c>
      <c r="M122" s="11">
        <f t="shared" si="51"/>
        <v>113100</v>
      </c>
      <c r="N122" s="11">
        <f t="shared" si="51"/>
        <v>123500</v>
      </c>
      <c r="O122" s="11">
        <f t="shared" si="51"/>
        <v>140400</v>
      </c>
    </row>
    <row r="123" spans="3:15" x14ac:dyDescent="0.25">
      <c r="C123" s="1" t="s">
        <v>42</v>
      </c>
      <c r="D123" s="13">
        <v>9000</v>
      </c>
      <c r="E123" s="13">
        <v>9500</v>
      </c>
      <c r="F123" s="13">
        <v>10200</v>
      </c>
      <c r="G123" s="13">
        <v>10900</v>
      </c>
      <c r="H123" s="13">
        <v>11500</v>
      </c>
      <c r="I123" s="13">
        <v>12000</v>
      </c>
      <c r="J123" s="13">
        <v>12500</v>
      </c>
      <c r="K123" s="13">
        <v>13000</v>
      </c>
      <c r="L123" s="13">
        <v>13500</v>
      </c>
      <c r="M123" s="13">
        <v>14300</v>
      </c>
      <c r="N123" s="13">
        <v>15600</v>
      </c>
      <c r="O123" s="13">
        <v>17700</v>
      </c>
    </row>
    <row r="124" spans="3:15" x14ac:dyDescent="0.25">
      <c r="C124" s="1" t="s">
        <v>43</v>
      </c>
      <c r="D124" s="13">
        <v>8500</v>
      </c>
      <c r="E124" s="13">
        <v>9000</v>
      </c>
      <c r="F124" s="13">
        <v>9600</v>
      </c>
      <c r="G124" s="13">
        <v>10200</v>
      </c>
      <c r="H124" s="13">
        <v>10800</v>
      </c>
      <c r="I124" s="13">
        <v>11200</v>
      </c>
      <c r="J124" s="13">
        <v>11700</v>
      </c>
      <c r="K124" s="13">
        <v>12200</v>
      </c>
      <c r="L124" s="13">
        <v>12700</v>
      </c>
      <c r="M124" s="13">
        <v>13500</v>
      </c>
      <c r="N124" s="13">
        <v>14700</v>
      </c>
      <c r="O124" s="13">
        <v>16700</v>
      </c>
    </row>
    <row r="125" spans="3:15" x14ac:dyDescent="0.25">
      <c r="C125" s="1" t="s">
        <v>44</v>
      </c>
      <c r="D125" s="13">
        <v>13500</v>
      </c>
      <c r="E125" s="13">
        <v>14300</v>
      </c>
      <c r="F125" s="13">
        <v>15300</v>
      </c>
      <c r="G125" s="13">
        <v>16300</v>
      </c>
      <c r="H125" s="13">
        <v>17300</v>
      </c>
      <c r="I125" s="13">
        <v>18000</v>
      </c>
      <c r="J125" s="13">
        <v>18700</v>
      </c>
      <c r="K125" s="13">
        <v>19400</v>
      </c>
      <c r="L125" s="13">
        <v>20100</v>
      </c>
      <c r="M125" s="13">
        <v>21300</v>
      </c>
      <c r="N125" s="13">
        <v>23200</v>
      </c>
      <c r="O125" s="13">
        <v>26400</v>
      </c>
    </row>
    <row r="126" spans="3:15" x14ac:dyDescent="0.25">
      <c r="C126" s="1" t="s">
        <v>45</v>
      </c>
      <c r="D126" s="13">
        <v>17500</v>
      </c>
      <c r="E126" s="13">
        <v>18400</v>
      </c>
      <c r="F126" s="13">
        <v>19700</v>
      </c>
      <c r="G126" s="13">
        <v>21000</v>
      </c>
      <c r="H126" s="13">
        <v>22300</v>
      </c>
      <c r="I126" s="13">
        <v>23200</v>
      </c>
      <c r="J126" s="13">
        <v>24100</v>
      </c>
      <c r="K126" s="13">
        <v>25000</v>
      </c>
      <c r="L126" s="13">
        <v>25900</v>
      </c>
      <c r="M126" s="13">
        <v>27500</v>
      </c>
      <c r="N126" s="13">
        <v>30000</v>
      </c>
      <c r="O126" s="13">
        <v>34100</v>
      </c>
    </row>
    <row r="127" spans="3:15" x14ac:dyDescent="0.25">
      <c r="C127" s="1" t="s">
        <v>46</v>
      </c>
      <c r="D127" s="13">
        <v>23000</v>
      </c>
      <c r="E127" s="13">
        <v>24200</v>
      </c>
      <c r="F127" s="13">
        <v>25800</v>
      </c>
      <c r="G127" s="13">
        <v>27400</v>
      </c>
      <c r="H127" s="13">
        <v>29100</v>
      </c>
      <c r="I127" s="13">
        <v>30500</v>
      </c>
      <c r="J127" s="13">
        <v>31800</v>
      </c>
      <c r="K127" s="13">
        <v>33100</v>
      </c>
      <c r="L127" s="13">
        <v>34400</v>
      </c>
      <c r="M127" s="13">
        <v>36500</v>
      </c>
      <c r="N127" s="13">
        <v>40000</v>
      </c>
      <c r="O127" s="13">
        <v>45500</v>
      </c>
    </row>
    <row r="128" spans="3:15" x14ac:dyDescent="0.25"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</row>
    <row r="129" spans="3:15" x14ac:dyDescent="0.25"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</row>
    <row r="130" spans="3:15" x14ac:dyDescent="0.25">
      <c r="C130" s="7" t="s">
        <v>47</v>
      </c>
      <c r="D130" s="10">
        <f>SUM(D132:D133)</f>
        <v>1500</v>
      </c>
      <c r="E130" s="10">
        <f t="shared" ref="E130:O130" si="52">SUM(E132:E133)</f>
        <v>1570</v>
      </c>
      <c r="F130" s="10">
        <f t="shared" si="52"/>
        <v>1650</v>
      </c>
      <c r="G130" s="10">
        <f t="shared" si="52"/>
        <v>1730</v>
      </c>
      <c r="H130" s="10">
        <f t="shared" si="52"/>
        <v>1800</v>
      </c>
      <c r="I130" s="10">
        <f t="shared" si="52"/>
        <v>1870</v>
      </c>
      <c r="J130" s="10">
        <f t="shared" si="52"/>
        <v>1950</v>
      </c>
      <c r="K130" s="10">
        <f t="shared" si="52"/>
        <v>2030</v>
      </c>
      <c r="L130" s="10">
        <f t="shared" si="52"/>
        <v>2100</v>
      </c>
      <c r="M130" s="10">
        <f t="shared" si="52"/>
        <v>2250</v>
      </c>
      <c r="N130" s="10">
        <f t="shared" si="52"/>
        <v>2400</v>
      </c>
      <c r="O130" s="10">
        <f t="shared" si="52"/>
        <v>2700</v>
      </c>
    </row>
    <row r="131" spans="3:15" x14ac:dyDescent="0.25"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</row>
    <row r="132" spans="3:15" x14ac:dyDescent="0.25">
      <c r="C132" s="1" t="s">
        <v>48</v>
      </c>
      <c r="D132" s="13">
        <v>900</v>
      </c>
      <c r="E132" s="13">
        <v>920</v>
      </c>
      <c r="F132" s="13">
        <v>950</v>
      </c>
      <c r="G132" s="13">
        <v>980</v>
      </c>
      <c r="H132" s="13">
        <v>1000</v>
      </c>
      <c r="I132" s="13">
        <v>1020</v>
      </c>
      <c r="J132" s="13">
        <v>1050</v>
      </c>
      <c r="K132" s="13">
        <v>1080</v>
      </c>
      <c r="L132" s="13">
        <v>1100</v>
      </c>
      <c r="M132" s="13">
        <v>1150</v>
      </c>
      <c r="N132" s="13">
        <v>1200</v>
      </c>
      <c r="O132" s="13">
        <v>1300</v>
      </c>
    </row>
    <row r="133" spans="3:15" x14ac:dyDescent="0.25">
      <c r="C133" s="1" t="s">
        <v>49</v>
      </c>
      <c r="D133" s="13">
        <v>600</v>
      </c>
      <c r="E133" s="13">
        <v>650</v>
      </c>
      <c r="F133" s="13">
        <v>700</v>
      </c>
      <c r="G133" s="13">
        <v>750</v>
      </c>
      <c r="H133" s="13">
        <v>800</v>
      </c>
      <c r="I133" s="13">
        <v>850</v>
      </c>
      <c r="J133" s="13">
        <v>900</v>
      </c>
      <c r="K133" s="13">
        <v>950</v>
      </c>
      <c r="L133" s="13">
        <v>1000</v>
      </c>
      <c r="M133" s="13">
        <v>1100</v>
      </c>
      <c r="N133" s="13">
        <v>1200</v>
      </c>
      <c r="O133" s="13">
        <v>1400</v>
      </c>
    </row>
    <row r="134" spans="3:15" x14ac:dyDescent="0.25"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</row>
    <row r="135" spans="3:15" x14ac:dyDescent="0.25"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</row>
    <row r="136" spans="3:15" x14ac:dyDescent="0.25">
      <c r="C136" s="7" t="s">
        <v>50</v>
      </c>
      <c r="D136" s="10">
        <f t="shared" ref="D136:O136" si="53">D104-D113+D130</f>
        <v>97705.724999999977</v>
      </c>
      <c r="E136" s="10">
        <f t="shared" si="53"/>
        <v>107312.70000000001</v>
      </c>
      <c r="F136" s="10">
        <f t="shared" si="53"/>
        <v>119270.51000000001</v>
      </c>
      <c r="G136" s="10">
        <f t="shared" si="53"/>
        <v>136701.1508</v>
      </c>
      <c r="H136" s="10">
        <f t="shared" si="53"/>
        <v>150127.90000000002</v>
      </c>
      <c r="I136" s="10">
        <f t="shared" si="53"/>
        <v>161953.52500000002</v>
      </c>
      <c r="J136" s="10">
        <f t="shared" si="53"/>
        <v>174232.88</v>
      </c>
      <c r="K136" s="10">
        <f t="shared" si="53"/>
        <v>186955.37379999994</v>
      </c>
      <c r="L136" s="10">
        <f t="shared" si="53"/>
        <v>200112.75</v>
      </c>
      <c r="M136" s="10">
        <f t="shared" si="53"/>
        <v>218770.81499999994</v>
      </c>
      <c r="N136" s="10">
        <f t="shared" si="53"/>
        <v>245856.5</v>
      </c>
      <c r="O136" s="10">
        <f t="shared" si="53"/>
        <v>287457.35279999999</v>
      </c>
    </row>
    <row r="137" spans="3:15" x14ac:dyDescent="0.25"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</row>
    <row r="138" spans="3:15" x14ac:dyDescent="0.25"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</row>
    <row r="139" spans="3:15" x14ac:dyDescent="0.25">
      <c r="C139" s="7" t="s">
        <v>51</v>
      </c>
      <c r="D139" s="10">
        <f>D141+D144+D147+D150+D153</f>
        <v>433200</v>
      </c>
      <c r="E139" s="10">
        <f t="shared" ref="E139:O139" si="54">E141+E144+E147+E150+E153</f>
        <v>456400</v>
      </c>
      <c r="F139" s="10">
        <f t="shared" si="54"/>
        <v>487200</v>
      </c>
      <c r="G139" s="10">
        <f t="shared" si="54"/>
        <v>510200</v>
      </c>
      <c r="H139" s="10">
        <f t="shared" si="54"/>
        <v>539800</v>
      </c>
      <c r="I139" s="10">
        <f t="shared" si="54"/>
        <v>561500</v>
      </c>
      <c r="J139" s="10">
        <f t="shared" si="54"/>
        <v>582700</v>
      </c>
      <c r="K139" s="10">
        <f t="shared" si="54"/>
        <v>603600</v>
      </c>
      <c r="L139" s="10">
        <f t="shared" si="54"/>
        <v>624100</v>
      </c>
      <c r="M139" s="10">
        <f t="shared" si="54"/>
        <v>659400</v>
      </c>
      <c r="N139" s="10">
        <f t="shared" si="54"/>
        <v>737700</v>
      </c>
      <c r="O139" s="10">
        <f t="shared" si="54"/>
        <v>895400</v>
      </c>
    </row>
    <row r="140" spans="3:15" x14ac:dyDescent="0.25"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</row>
    <row r="141" spans="3:15" x14ac:dyDescent="0.25">
      <c r="C141" s="41" t="s">
        <v>130</v>
      </c>
      <c r="D141" s="36">
        <f>SUM(D142:D143)</f>
        <v>108300</v>
      </c>
      <c r="E141" s="36">
        <f>SUM(E142:E143)</f>
        <v>114100</v>
      </c>
      <c r="F141" s="36">
        <f>SUM(F142:F143)</f>
        <v>121800</v>
      </c>
      <c r="G141" s="36">
        <f>SUM(G142,G143)</f>
        <v>127550</v>
      </c>
      <c r="H141" s="36">
        <f t="shared" ref="H141:O141" si="55">SUM(H142:H143)</f>
        <v>134950</v>
      </c>
      <c r="I141" s="36">
        <f t="shared" si="55"/>
        <v>140375</v>
      </c>
      <c r="J141" s="36">
        <f t="shared" si="55"/>
        <v>145675</v>
      </c>
      <c r="K141" s="36">
        <f t="shared" si="55"/>
        <v>150900</v>
      </c>
      <c r="L141" s="36">
        <f t="shared" si="55"/>
        <v>156025</v>
      </c>
      <c r="M141" s="36">
        <f t="shared" si="55"/>
        <v>164850</v>
      </c>
      <c r="N141" s="36">
        <f t="shared" si="55"/>
        <v>184425</v>
      </c>
      <c r="O141" s="36">
        <f t="shared" si="55"/>
        <v>223850</v>
      </c>
    </row>
    <row r="142" spans="3:15" x14ac:dyDescent="0.25">
      <c r="C142" s="4" t="s">
        <v>145</v>
      </c>
      <c r="D142" s="13">
        <v>64980</v>
      </c>
      <c r="E142" s="13">
        <v>68460</v>
      </c>
      <c r="F142" s="13">
        <v>73080</v>
      </c>
      <c r="G142" s="13">
        <v>76530</v>
      </c>
      <c r="H142" s="13">
        <v>80970</v>
      </c>
      <c r="I142" s="13">
        <v>84225</v>
      </c>
      <c r="J142" s="13">
        <v>87405</v>
      </c>
      <c r="K142" s="13">
        <v>90540</v>
      </c>
      <c r="L142" s="13">
        <v>93615</v>
      </c>
      <c r="M142" s="13">
        <v>98910</v>
      </c>
      <c r="N142" s="13">
        <v>110655</v>
      </c>
      <c r="O142" s="13">
        <v>134310</v>
      </c>
    </row>
    <row r="143" spans="3:15" x14ac:dyDescent="0.25">
      <c r="C143" s="4" t="s">
        <v>146</v>
      </c>
      <c r="D143" s="13">
        <v>43320</v>
      </c>
      <c r="E143" s="13">
        <v>45640</v>
      </c>
      <c r="F143" s="13">
        <v>48720</v>
      </c>
      <c r="G143" s="13">
        <v>51020</v>
      </c>
      <c r="H143" s="13">
        <v>53980</v>
      </c>
      <c r="I143" s="13">
        <v>56150</v>
      </c>
      <c r="J143" s="13">
        <v>58270</v>
      </c>
      <c r="K143" s="13">
        <v>60360</v>
      </c>
      <c r="L143" s="13">
        <v>62410</v>
      </c>
      <c r="M143" s="13">
        <v>65940</v>
      </c>
      <c r="N143" s="13">
        <v>73770</v>
      </c>
      <c r="O143" s="13">
        <v>89540</v>
      </c>
    </row>
    <row r="144" spans="3:15" x14ac:dyDescent="0.25">
      <c r="C144" s="41" t="s">
        <v>131</v>
      </c>
      <c r="D144" s="36">
        <f t="shared" ref="D144:O144" si="56">SUM(D145:D146)</f>
        <v>95304</v>
      </c>
      <c r="E144" s="36">
        <f t="shared" si="56"/>
        <v>100408</v>
      </c>
      <c r="F144" s="36">
        <f t="shared" si="56"/>
        <v>107184</v>
      </c>
      <c r="G144" s="36">
        <f t="shared" si="56"/>
        <v>112244</v>
      </c>
      <c r="H144" s="36">
        <f t="shared" si="56"/>
        <v>118756</v>
      </c>
      <c r="I144" s="36">
        <f t="shared" si="56"/>
        <v>123530</v>
      </c>
      <c r="J144" s="36">
        <f t="shared" si="56"/>
        <v>128194</v>
      </c>
      <c r="K144" s="36">
        <f t="shared" si="56"/>
        <v>132792</v>
      </c>
      <c r="L144" s="36">
        <f t="shared" si="56"/>
        <v>137302</v>
      </c>
      <c r="M144" s="36">
        <f t="shared" si="56"/>
        <v>145068</v>
      </c>
      <c r="N144" s="36">
        <f t="shared" si="56"/>
        <v>162294</v>
      </c>
      <c r="O144" s="36">
        <f t="shared" si="56"/>
        <v>196988</v>
      </c>
    </row>
    <row r="145" spans="3:16" x14ac:dyDescent="0.25">
      <c r="C145" s="4" t="s">
        <v>147</v>
      </c>
      <c r="D145" s="37">
        <v>51984</v>
      </c>
      <c r="E145" s="37">
        <v>54768</v>
      </c>
      <c r="F145" s="37">
        <v>58464</v>
      </c>
      <c r="G145" s="37">
        <v>61224</v>
      </c>
      <c r="H145" s="37">
        <v>64776</v>
      </c>
      <c r="I145" s="37">
        <v>67380</v>
      </c>
      <c r="J145" s="37">
        <v>69924</v>
      </c>
      <c r="K145" s="37">
        <v>72432</v>
      </c>
      <c r="L145" s="37">
        <v>74892</v>
      </c>
      <c r="M145" s="37">
        <v>79128</v>
      </c>
      <c r="N145" s="37">
        <v>88524</v>
      </c>
      <c r="O145" s="37">
        <v>107448</v>
      </c>
    </row>
    <row r="146" spans="3:16" x14ac:dyDescent="0.25">
      <c r="C146" s="4" t="s">
        <v>148</v>
      </c>
      <c r="D146" s="13">
        <v>43320</v>
      </c>
      <c r="E146" s="13">
        <v>45640</v>
      </c>
      <c r="F146" s="13">
        <v>48720</v>
      </c>
      <c r="G146" s="13">
        <v>51020</v>
      </c>
      <c r="H146" s="13">
        <v>53980</v>
      </c>
      <c r="I146" s="13">
        <v>56150</v>
      </c>
      <c r="J146" s="13">
        <v>58270</v>
      </c>
      <c r="K146" s="13">
        <v>60360</v>
      </c>
      <c r="L146" s="13">
        <v>62410</v>
      </c>
      <c r="M146" s="13">
        <v>65940</v>
      </c>
      <c r="N146" s="13">
        <v>73770</v>
      </c>
      <c r="O146" s="13">
        <v>89540</v>
      </c>
    </row>
    <row r="147" spans="3:16" x14ac:dyDescent="0.25">
      <c r="C147" s="41" t="s">
        <v>132</v>
      </c>
      <c r="D147" s="36">
        <f t="shared" ref="D147:O147" si="57">SUM(D148:D149)</f>
        <v>95304</v>
      </c>
      <c r="E147" s="36">
        <f t="shared" si="57"/>
        <v>100408</v>
      </c>
      <c r="F147" s="36">
        <f t="shared" si="57"/>
        <v>107184</v>
      </c>
      <c r="G147" s="36">
        <f t="shared" si="57"/>
        <v>112244</v>
      </c>
      <c r="H147" s="36">
        <f t="shared" si="57"/>
        <v>118756</v>
      </c>
      <c r="I147" s="36">
        <f t="shared" si="57"/>
        <v>123530</v>
      </c>
      <c r="J147" s="36">
        <f t="shared" si="57"/>
        <v>128194</v>
      </c>
      <c r="K147" s="36">
        <f t="shared" si="57"/>
        <v>132792</v>
      </c>
      <c r="L147" s="36">
        <f t="shared" si="57"/>
        <v>137302</v>
      </c>
      <c r="M147" s="36">
        <f t="shared" si="57"/>
        <v>145068</v>
      </c>
      <c r="N147" s="36">
        <f t="shared" si="57"/>
        <v>162294</v>
      </c>
      <c r="O147" s="36">
        <f t="shared" si="57"/>
        <v>196988</v>
      </c>
    </row>
    <row r="148" spans="3:16" x14ac:dyDescent="0.25">
      <c r="C148" s="4" t="s">
        <v>154</v>
      </c>
      <c r="D148" s="39">
        <v>51984</v>
      </c>
      <c r="E148" s="39">
        <v>54768</v>
      </c>
      <c r="F148" s="39">
        <v>58464</v>
      </c>
      <c r="G148" s="39">
        <v>61224</v>
      </c>
      <c r="H148" s="39">
        <v>64776</v>
      </c>
      <c r="I148" s="39">
        <v>67380</v>
      </c>
      <c r="J148" s="39">
        <v>69924</v>
      </c>
      <c r="K148" s="39">
        <v>72432</v>
      </c>
      <c r="L148" s="39">
        <v>74892</v>
      </c>
      <c r="M148" s="39">
        <v>79128</v>
      </c>
      <c r="N148" s="39">
        <v>88524</v>
      </c>
      <c r="O148" s="39">
        <v>107448</v>
      </c>
    </row>
    <row r="149" spans="3:16" x14ac:dyDescent="0.25">
      <c r="C149" s="4" t="s">
        <v>149</v>
      </c>
      <c r="D149" s="37">
        <v>43320</v>
      </c>
      <c r="E149" s="37">
        <v>45640</v>
      </c>
      <c r="F149" s="37">
        <v>48720</v>
      </c>
      <c r="G149" s="37">
        <v>51020</v>
      </c>
      <c r="H149" s="37">
        <v>53980</v>
      </c>
      <c r="I149" s="37">
        <v>56150</v>
      </c>
      <c r="J149" s="37">
        <v>58270</v>
      </c>
      <c r="K149" s="37">
        <v>60360</v>
      </c>
      <c r="L149" s="37">
        <v>62410</v>
      </c>
      <c r="M149" s="37">
        <v>65940</v>
      </c>
      <c r="N149" s="37">
        <v>73770</v>
      </c>
      <c r="O149" s="37">
        <v>89540</v>
      </c>
    </row>
    <row r="150" spans="3:16" x14ac:dyDescent="0.25">
      <c r="C150" s="41" t="s">
        <v>133</v>
      </c>
      <c r="D150" s="36">
        <f t="shared" ref="D150:O150" si="58">SUM(D151:D152)</f>
        <v>69312</v>
      </c>
      <c r="E150" s="36">
        <f t="shared" si="58"/>
        <v>73024</v>
      </c>
      <c r="F150" s="36">
        <f t="shared" si="58"/>
        <v>77952</v>
      </c>
      <c r="G150" s="36">
        <f t="shared" si="58"/>
        <v>81632</v>
      </c>
      <c r="H150" s="36">
        <f t="shared" si="58"/>
        <v>86368</v>
      </c>
      <c r="I150" s="36">
        <f t="shared" si="58"/>
        <v>89840</v>
      </c>
      <c r="J150" s="36">
        <f t="shared" si="58"/>
        <v>93232</v>
      </c>
      <c r="K150" s="36">
        <f t="shared" si="58"/>
        <v>96576</v>
      </c>
      <c r="L150" s="36">
        <f t="shared" si="58"/>
        <v>99856</v>
      </c>
      <c r="M150" s="36">
        <f t="shared" si="58"/>
        <v>105504</v>
      </c>
      <c r="N150" s="36">
        <f t="shared" si="58"/>
        <v>118032</v>
      </c>
      <c r="O150" s="36">
        <f t="shared" si="58"/>
        <v>143264</v>
      </c>
    </row>
    <row r="151" spans="3:16" x14ac:dyDescent="0.25">
      <c r="C151" s="4" t="s">
        <v>150</v>
      </c>
      <c r="D151" s="39">
        <v>38988</v>
      </c>
      <c r="E151" s="39">
        <v>41076</v>
      </c>
      <c r="F151" s="39">
        <v>43848</v>
      </c>
      <c r="G151" s="39">
        <v>45918</v>
      </c>
      <c r="H151" s="39">
        <v>48582</v>
      </c>
      <c r="I151" s="39">
        <v>50535</v>
      </c>
      <c r="J151" s="39">
        <v>52443</v>
      </c>
      <c r="K151" s="39">
        <v>54324</v>
      </c>
      <c r="L151" s="39">
        <v>56169</v>
      </c>
      <c r="M151" s="39">
        <v>59346</v>
      </c>
      <c r="N151" s="39">
        <v>66393</v>
      </c>
      <c r="O151" s="39">
        <v>80586</v>
      </c>
    </row>
    <row r="152" spans="3:16" x14ac:dyDescent="0.25">
      <c r="C152" s="4" t="s">
        <v>151</v>
      </c>
      <c r="D152" s="39">
        <v>30324</v>
      </c>
      <c r="E152" s="39">
        <v>31948</v>
      </c>
      <c r="F152" s="39">
        <v>34104</v>
      </c>
      <c r="G152" s="39">
        <v>35714</v>
      </c>
      <c r="H152" s="39">
        <v>37786</v>
      </c>
      <c r="I152" s="39">
        <v>39305</v>
      </c>
      <c r="J152" s="39">
        <v>40789</v>
      </c>
      <c r="K152" s="39">
        <v>42252</v>
      </c>
      <c r="L152" s="39">
        <v>43687</v>
      </c>
      <c r="M152" s="39">
        <v>46158</v>
      </c>
      <c r="N152" s="39">
        <v>51639</v>
      </c>
      <c r="O152" s="39">
        <v>62678</v>
      </c>
      <c r="P152" s="13"/>
    </row>
    <row r="153" spans="3:16" x14ac:dyDescent="0.25">
      <c r="C153" s="41" t="s">
        <v>134</v>
      </c>
      <c r="D153" s="36">
        <f t="shared" ref="D153:O153" si="59">SUM(D154:D155)</f>
        <v>64980</v>
      </c>
      <c r="E153" s="36">
        <f t="shared" si="59"/>
        <v>68460</v>
      </c>
      <c r="F153" s="36">
        <f t="shared" si="59"/>
        <v>73080</v>
      </c>
      <c r="G153" s="36">
        <f t="shared" si="59"/>
        <v>76530</v>
      </c>
      <c r="H153" s="36">
        <f t="shared" si="59"/>
        <v>80970</v>
      </c>
      <c r="I153" s="36">
        <f t="shared" si="59"/>
        <v>84225</v>
      </c>
      <c r="J153" s="36">
        <f t="shared" si="59"/>
        <v>87405</v>
      </c>
      <c r="K153" s="36">
        <f t="shared" si="59"/>
        <v>90540</v>
      </c>
      <c r="L153" s="36">
        <f t="shared" si="59"/>
        <v>93615</v>
      </c>
      <c r="M153" s="36">
        <f t="shared" si="59"/>
        <v>98910</v>
      </c>
      <c r="N153" s="36">
        <f t="shared" si="59"/>
        <v>110655</v>
      </c>
      <c r="O153" s="36">
        <f t="shared" si="59"/>
        <v>134310</v>
      </c>
    </row>
    <row r="154" spans="3:16" x14ac:dyDescent="0.25">
      <c r="C154" s="4" t="s">
        <v>152</v>
      </c>
      <c r="D154" s="30">
        <v>34656</v>
      </c>
      <c r="E154" s="30">
        <v>36512</v>
      </c>
      <c r="F154" s="30">
        <v>38976</v>
      </c>
      <c r="G154" s="30">
        <v>40816</v>
      </c>
      <c r="H154" s="30">
        <v>43184</v>
      </c>
      <c r="I154" s="30">
        <v>44920</v>
      </c>
      <c r="J154" s="30">
        <v>46616</v>
      </c>
      <c r="K154" s="30">
        <v>48288</v>
      </c>
      <c r="L154" s="30">
        <v>49928</v>
      </c>
      <c r="M154" s="30">
        <v>52752</v>
      </c>
      <c r="N154" s="30">
        <v>59016</v>
      </c>
      <c r="O154" s="30">
        <v>71632</v>
      </c>
    </row>
    <row r="155" spans="3:16" x14ac:dyDescent="0.25">
      <c r="C155" s="4" t="s">
        <v>153</v>
      </c>
      <c r="D155" s="30">
        <v>30324</v>
      </c>
      <c r="E155" s="30">
        <v>31948</v>
      </c>
      <c r="F155" s="30">
        <v>34104</v>
      </c>
      <c r="G155" s="30">
        <v>35714</v>
      </c>
      <c r="H155" s="30">
        <v>37786</v>
      </c>
      <c r="I155" s="30">
        <v>39305</v>
      </c>
      <c r="J155" s="30">
        <v>40789</v>
      </c>
      <c r="K155" s="30">
        <v>42252</v>
      </c>
      <c r="L155" s="30">
        <v>43687</v>
      </c>
      <c r="M155" s="30">
        <v>46158</v>
      </c>
      <c r="N155" s="30">
        <v>51639</v>
      </c>
      <c r="O155" s="30">
        <v>62678</v>
      </c>
    </row>
    <row r="157" spans="3:16" x14ac:dyDescent="0.25">
      <c r="C157" s="40"/>
      <c r="D157"/>
    </row>
    <row r="158" spans="3:16" x14ac:dyDescent="0.25">
      <c r="C158" s="15"/>
      <c r="D158" s="163"/>
      <c r="E158" s="163"/>
      <c r="F158" s="163"/>
      <c r="G158" s="163"/>
      <c r="H158" s="163"/>
      <c r="I158" s="163"/>
      <c r="J158" s="163"/>
      <c r="K158" s="163"/>
      <c r="L158" s="163"/>
      <c r="M158" s="163"/>
      <c r="N158" s="163"/>
      <c r="O158" s="163"/>
    </row>
    <row r="159" spans="3:16" x14ac:dyDescent="0.25">
      <c r="C159" s="15"/>
      <c r="D159"/>
    </row>
    <row r="160" spans="3:16" x14ac:dyDescent="0.25">
      <c r="D160" s="163"/>
      <c r="E160" s="163"/>
      <c r="F160" s="163"/>
      <c r="G160" s="163"/>
      <c r="H160" s="163"/>
      <c r="I160" s="163"/>
      <c r="J160" s="163"/>
      <c r="K160" s="163"/>
      <c r="L160" s="163"/>
      <c r="M160" s="163"/>
      <c r="N160" s="163"/>
      <c r="O160" s="163"/>
      <c r="P160" s="163"/>
    </row>
    <row r="161" spans="4:15" x14ac:dyDescent="0.25">
      <c r="D161" s="163"/>
      <c r="E161" s="163"/>
      <c r="F161" s="163"/>
      <c r="G161" s="163"/>
      <c r="H161" s="163"/>
      <c r="I161" s="163"/>
      <c r="J161" s="163"/>
      <c r="K161" s="163"/>
      <c r="L161" s="163"/>
      <c r="M161" s="163"/>
      <c r="N161" s="163"/>
      <c r="O161" s="163"/>
    </row>
    <row r="162" spans="4:15" x14ac:dyDescent="0.25">
      <c r="D162" s="163"/>
      <c r="E162" s="163"/>
      <c r="F162" s="163"/>
      <c r="G162" s="163"/>
      <c r="H162" s="163"/>
      <c r="I162" s="163"/>
      <c r="J162" s="163"/>
      <c r="K162" s="163"/>
      <c r="L162" s="163"/>
      <c r="M162" s="163"/>
      <c r="N162" s="163"/>
      <c r="O162" s="163"/>
    </row>
    <row r="163" spans="4:15" x14ac:dyDescent="0.25">
      <c r="D163" s="163"/>
      <c r="E163" s="163"/>
      <c r="F163" s="163"/>
      <c r="G163" s="163"/>
      <c r="H163" s="163"/>
      <c r="I163" s="163"/>
      <c r="J163" s="163"/>
      <c r="K163" s="163"/>
      <c r="L163" s="163"/>
      <c r="M163" s="163"/>
      <c r="N163" s="163"/>
      <c r="O163" s="163"/>
    </row>
    <row r="164" spans="4:15" x14ac:dyDescent="0.25">
      <c r="D164" s="163"/>
      <c r="E164" s="163"/>
      <c r="F164" s="163"/>
      <c r="G164" s="163"/>
      <c r="H164" s="163"/>
      <c r="I164" s="163"/>
      <c r="J164" s="163"/>
      <c r="K164" s="163"/>
      <c r="L164" s="163"/>
      <c r="M164" s="163"/>
      <c r="N164" s="163"/>
      <c r="O164" s="163"/>
    </row>
    <row r="165" spans="4:15" x14ac:dyDescent="0.25">
      <c r="D165" s="163"/>
      <c r="E165" s="163"/>
      <c r="G165" s="163"/>
      <c r="H165" s="164"/>
      <c r="I165" s="163"/>
      <c r="J165" s="164"/>
      <c r="K165" s="163"/>
      <c r="L165" s="164"/>
      <c r="M165" s="163"/>
    </row>
    <row r="166" spans="4:15" x14ac:dyDescent="0.25">
      <c r="D166" s="163"/>
      <c r="E166" s="163"/>
      <c r="F166" s="163"/>
      <c r="G166" s="163"/>
      <c r="H166" s="163"/>
      <c r="I166" s="163"/>
      <c r="J166" s="163"/>
      <c r="K166" s="163"/>
      <c r="L166" s="163"/>
      <c r="M166" s="163"/>
      <c r="N166" s="163"/>
      <c r="O166" s="163"/>
    </row>
    <row r="167" spans="4:15" x14ac:dyDescent="0.25">
      <c r="D167" s="163"/>
      <c r="E167" s="163"/>
      <c r="F167" s="163"/>
      <c r="G167" s="163"/>
      <c r="H167" s="163"/>
      <c r="I167" s="163"/>
      <c r="J167" s="163"/>
      <c r="K167" s="163"/>
      <c r="L167" s="163"/>
      <c r="M167" s="163"/>
      <c r="N167" s="163"/>
      <c r="O167" s="163"/>
    </row>
    <row r="168" spans="4:15" x14ac:dyDescent="0.25">
      <c r="D168" s="163"/>
      <c r="E168" s="163"/>
      <c r="F168" s="163"/>
      <c r="G168" s="163"/>
      <c r="H168" s="163"/>
      <c r="I168" s="163"/>
      <c r="J168" s="163"/>
      <c r="K168" s="163"/>
      <c r="L168" s="163"/>
      <c r="M168" s="163"/>
      <c r="N168" s="163"/>
      <c r="O168" s="163"/>
    </row>
    <row r="169" spans="4:15" x14ac:dyDescent="0.25">
      <c r="D169" s="163"/>
      <c r="E169" s="163"/>
      <c r="F169" s="163"/>
      <c r="G169" s="163"/>
      <c r="H169" s="163"/>
      <c r="I169" s="163"/>
      <c r="J169" s="163"/>
      <c r="K169" s="163"/>
      <c r="L169" s="163"/>
      <c r="M169" s="163"/>
      <c r="N169" s="163"/>
      <c r="O169" s="163"/>
    </row>
    <row r="170" spans="4:15" x14ac:dyDescent="0.25">
      <c r="D170" s="163"/>
      <c r="E170" s="163"/>
      <c r="F170" s="163"/>
      <c r="G170" s="163"/>
      <c r="H170" s="163"/>
      <c r="I170" s="163"/>
      <c r="J170" s="163"/>
      <c r="K170" s="163"/>
      <c r="L170" s="163"/>
      <c r="M170" s="163"/>
      <c r="N170" s="163"/>
      <c r="O170" s="163"/>
    </row>
    <row r="171" spans="4:15" x14ac:dyDescent="0.25">
      <c r="D171" s="163"/>
      <c r="H171" s="164"/>
      <c r="J171" s="164"/>
      <c r="L171" s="164"/>
    </row>
    <row r="172" spans="4:15" x14ac:dyDescent="0.25">
      <c r="D172" s="163"/>
    </row>
    <row r="173" spans="4:15" x14ac:dyDescent="0.25">
      <c r="D173" s="163"/>
      <c r="G173" s="162"/>
      <c r="H173" s="162"/>
      <c r="I173" s="162"/>
      <c r="J173" s="162"/>
      <c r="K173" s="162"/>
      <c r="L173" s="162"/>
      <c r="M173" s="162"/>
      <c r="N173" s="162"/>
      <c r="O173" s="162"/>
    </row>
    <row r="174" spans="4:15" x14ac:dyDescent="0.25">
      <c r="D174" s="163"/>
    </row>
    <row r="175" spans="4:15" x14ac:dyDescent="0.25">
      <c r="D175" s="163"/>
      <c r="E175" s="164"/>
      <c r="F175" s="163"/>
      <c r="G175" s="164"/>
      <c r="H175" s="163"/>
      <c r="I175" s="164"/>
      <c r="J175" s="163"/>
      <c r="K175" s="164"/>
      <c r="L175" s="164"/>
      <c r="M175" s="164"/>
      <c r="N175" s="164"/>
      <c r="O175" s="164"/>
    </row>
    <row r="176" spans="4:15" x14ac:dyDescent="0.25">
      <c r="D176" s="163"/>
      <c r="F176" s="163"/>
      <c r="H176" s="163"/>
      <c r="J176" s="163"/>
    </row>
    <row r="177" spans="4:15" x14ac:dyDescent="0.25">
      <c r="D177" s="163"/>
      <c r="F177" s="163"/>
      <c r="H177" s="163"/>
      <c r="J177" s="163"/>
    </row>
    <row r="178" spans="4:15" x14ac:dyDescent="0.25">
      <c r="D178" s="163"/>
      <c r="F178" s="163"/>
      <c r="H178" s="163"/>
      <c r="J178" s="163"/>
    </row>
    <row r="179" spans="4:15" x14ac:dyDescent="0.25">
      <c r="D179" s="163"/>
      <c r="E179" s="163"/>
      <c r="F179" s="163"/>
      <c r="G179" s="163"/>
      <c r="H179" s="163"/>
      <c r="I179" s="163"/>
      <c r="J179" s="163"/>
      <c r="K179" s="163"/>
      <c r="L179" s="163"/>
      <c r="M179" s="163"/>
      <c r="N179" s="163"/>
      <c r="O179" s="163"/>
    </row>
    <row r="180" spans="4:15" x14ac:dyDescent="0.25">
      <c r="D180" s="163"/>
      <c r="E180" s="164"/>
      <c r="F180" s="163"/>
      <c r="G180" s="164"/>
      <c r="H180" s="163"/>
      <c r="I180" s="164"/>
      <c r="J180" s="163"/>
      <c r="K180" s="164"/>
      <c r="L180" s="164"/>
      <c r="M180" s="164"/>
      <c r="N180" s="164"/>
      <c r="O180" s="164"/>
    </row>
    <row r="181" spans="4:15" x14ac:dyDescent="0.25">
      <c r="D181" s="163"/>
      <c r="F181" s="163"/>
      <c r="H181" s="163"/>
      <c r="J181" s="163"/>
    </row>
    <row r="182" spans="4:15" x14ac:dyDescent="0.25">
      <c r="D182" s="163"/>
      <c r="E182" s="163"/>
      <c r="F182" s="163"/>
      <c r="G182" s="163"/>
      <c r="H182" s="163"/>
      <c r="I182" s="163"/>
      <c r="J182" s="163"/>
      <c r="K182" s="163"/>
      <c r="L182" s="163"/>
      <c r="M182" s="163"/>
      <c r="N182" s="163"/>
      <c r="O182" s="163"/>
    </row>
    <row r="183" spans="4:15" x14ac:dyDescent="0.25">
      <c r="D183" s="163"/>
      <c r="E183" s="164"/>
      <c r="F183" s="163"/>
      <c r="G183" s="164"/>
      <c r="H183" s="163"/>
      <c r="I183" s="164"/>
      <c r="J183" s="163"/>
      <c r="K183" s="164"/>
      <c r="L183" s="164"/>
      <c r="M183" s="164"/>
      <c r="N183" s="164"/>
      <c r="O183" s="164"/>
    </row>
    <row r="184" spans="4:15" x14ac:dyDescent="0.25">
      <c r="D184" s="163"/>
      <c r="E184" s="163"/>
      <c r="F184" s="163"/>
      <c r="G184" s="163"/>
      <c r="H184" s="163"/>
      <c r="I184" s="163"/>
      <c r="J184" s="163"/>
      <c r="K184" s="163"/>
      <c r="L184" s="163"/>
      <c r="M184" s="163"/>
      <c r="N184" s="163"/>
      <c r="O184" s="163"/>
    </row>
    <row r="185" spans="4:15" x14ac:dyDescent="0.25">
      <c r="D185" s="163"/>
      <c r="E185" s="163"/>
      <c r="F185" s="163"/>
      <c r="G185" s="163"/>
      <c r="H185" s="163"/>
      <c r="I185" s="163"/>
      <c r="J185" s="163"/>
      <c r="K185" s="163"/>
      <c r="L185" s="163"/>
      <c r="M185" s="163"/>
      <c r="N185" s="163"/>
      <c r="O185" s="163"/>
    </row>
    <row r="186" spans="4:15" x14ac:dyDescent="0.25">
      <c r="D186" s="163"/>
      <c r="F186" s="163"/>
      <c r="H186" s="163"/>
      <c r="J186" s="163"/>
    </row>
    <row r="187" spans="4:15" x14ac:dyDescent="0.25">
      <c r="D187"/>
      <c r="E187" s="164"/>
      <c r="G187" s="164"/>
      <c r="H187" s="164"/>
      <c r="I187" s="164"/>
      <c r="J187" s="164"/>
      <c r="K187" s="164"/>
      <c r="L187" s="164"/>
      <c r="M187" s="164"/>
      <c r="N187" s="164"/>
      <c r="O187" s="164"/>
    </row>
    <row r="188" spans="4:15" x14ac:dyDescent="0.25">
      <c r="D188"/>
      <c r="E188" s="163"/>
      <c r="G188" s="163"/>
      <c r="H188" s="163"/>
      <c r="I188" s="163"/>
      <c r="J188" s="163"/>
      <c r="K188" s="163"/>
      <c r="L188" s="163"/>
      <c r="M188" s="163"/>
      <c r="N188" s="163"/>
      <c r="O188" s="163"/>
    </row>
    <row r="189" spans="4:15" x14ac:dyDescent="0.25">
      <c r="D189"/>
    </row>
    <row r="190" spans="4:15" x14ac:dyDescent="0.25">
      <c r="D190"/>
    </row>
    <row r="191" spans="4:15" x14ac:dyDescent="0.25">
      <c r="D191" s="164"/>
      <c r="E191" s="163"/>
      <c r="F191" s="163"/>
      <c r="G191" s="163"/>
      <c r="H191" s="163"/>
      <c r="I191" s="163"/>
      <c r="J191" s="163"/>
      <c r="K191" s="163"/>
      <c r="L191" s="163"/>
      <c r="M191" s="163"/>
      <c r="N191" s="163"/>
      <c r="O191" s="163"/>
    </row>
    <row r="192" spans="4:15" x14ac:dyDescent="0.25">
      <c r="D192"/>
    </row>
    <row r="193" spans="4:15" x14ac:dyDescent="0.25">
      <c r="D193" s="164"/>
    </row>
    <row r="194" spans="4:15" x14ac:dyDescent="0.25">
      <c r="D194" s="164"/>
      <c r="E194" s="163"/>
      <c r="F194" s="163"/>
      <c r="G194" s="163"/>
      <c r="H194" s="163"/>
      <c r="I194" s="163"/>
      <c r="J194" s="163"/>
      <c r="K194" s="163"/>
      <c r="L194" s="163"/>
      <c r="M194" s="163"/>
      <c r="N194" s="163"/>
      <c r="O194" s="163"/>
    </row>
    <row r="195" spans="4:15" x14ac:dyDescent="0.25">
      <c r="D195" s="164"/>
      <c r="E195" s="163"/>
      <c r="F195" s="163"/>
      <c r="G195" s="163"/>
      <c r="H195" s="163"/>
      <c r="I195" s="163"/>
      <c r="J195" s="163"/>
      <c r="K195" s="163"/>
      <c r="L195" s="163"/>
      <c r="M195" s="163"/>
      <c r="N195" s="163"/>
      <c r="O195" s="163"/>
    </row>
    <row r="196" spans="4:15" x14ac:dyDescent="0.25">
      <c r="D196" s="164"/>
    </row>
    <row r="197" spans="4:15" x14ac:dyDescent="0.25">
      <c r="D197" s="164"/>
      <c r="E197" s="163"/>
      <c r="F197" s="163"/>
      <c r="G197" s="163"/>
      <c r="H197" s="163"/>
      <c r="I197" s="163"/>
      <c r="J197" s="163"/>
      <c r="K197" s="163"/>
      <c r="L197" s="163"/>
      <c r="M197" s="163"/>
      <c r="N197" s="163"/>
      <c r="O197" s="163"/>
    </row>
    <row r="198" spans="4:15" x14ac:dyDescent="0.25">
      <c r="D198" s="164"/>
      <c r="E198" s="163"/>
      <c r="F198" s="163"/>
      <c r="G198" s="163"/>
      <c r="H198" s="163"/>
      <c r="I198" s="163"/>
      <c r="J198" s="163"/>
      <c r="K198" s="163"/>
      <c r="L198" s="163"/>
      <c r="M198" s="163"/>
      <c r="N198" s="163"/>
      <c r="O198" s="163"/>
    </row>
    <row r="199" spans="4:15" x14ac:dyDescent="0.25">
      <c r="D199" s="164"/>
    </row>
    <row r="200" spans="4:15" x14ac:dyDescent="0.25">
      <c r="D200" s="164"/>
      <c r="E200" s="163"/>
      <c r="F200" s="163"/>
      <c r="G200" s="163"/>
      <c r="H200" s="163"/>
      <c r="I200" s="163"/>
      <c r="J200" s="163"/>
      <c r="K200" s="163"/>
      <c r="L200" s="163"/>
      <c r="M200" s="163"/>
      <c r="N200" s="163"/>
      <c r="O200" s="163"/>
    </row>
    <row r="201" spans="4:15" x14ac:dyDescent="0.25">
      <c r="D201" s="164"/>
    </row>
    <row r="203" spans="4:15" x14ac:dyDescent="0.25">
      <c r="D203" s="164"/>
      <c r="E203" s="164"/>
      <c r="F203" s="164"/>
      <c r="G203" s="164"/>
      <c r="H203" s="164"/>
      <c r="I203" s="164"/>
      <c r="J203" s="164"/>
      <c r="K203" s="164"/>
      <c r="L203" s="164"/>
      <c r="M203" s="164"/>
      <c r="N203" s="164"/>
      <c r="O203" s="164"/>
    </row>
    <row r="204" spans="4:15" x14ac:dyDescent="0.25">
      <c r="D204" s="163"/>
    </row>
    <row r="205" spans="4:15" x14ac:dyDescent="0.25">
      <c r="D205" s="164"/>
      <c r="E205" s="162"/>
      <c r="F205" s="162"/>
      <c r="G205" s="162"/>
      <c r="H205" s="162"/>
      <c r="I205" s="162"/>
      <c r="J205" s="162"/>
      <c r="K205" s="162"/>
      <c r="L205" s="162"/>
      <c r="M205" s="162"/>
      <c r="N205" s="162"/>
      <c r="O205" s="162"/>
    </row>
    <row r="206" spans="4:15" x14ac:dyDescent="0.25">
      <c r="D206" s="164"/>
    </row>
    <row r="207" spans="4:15" x14ac:dyDescent="0.25">
      <c r="D207" s="164"/>
    </row>
    <row r="208" spans="4:15" x14ac:dyDescent="0.25">
      <c r="D208" s="164"/>
    </row>
    <row r="209" spans="4:15" x14ac:dyDescent="0.25">
      <c r="D209" s="164"/>
    </row>
    <row r="210" spans="4:15" x14ac:dyDescent="0.25">
      <c r="D210" s="164"/>
    </row>
    <row r="211" spans="4:15" x14ac:dyDescent="0.25">
      <c r="D211" s="164"/>
    </row>
    <row r="212" spans="4:15" x14ac:dyDescent="0.25">
      <c r="D212" s="164"/>
    </row>
    <row r="213" spans="4:15" x14ac:dyDescent="0.25">
      <c r="D213" s="164"/>
      <c r="E213" s="163"/>
      <c r="F213" s="163"/>
      <c r="G213" s="163"/>
      <c r="H213" s="163"/>
      <c r="I213" s="163"/>
      <c r="J213" s="163"/>
      <c r="K213" s="163"/>
      <c r="L213" s="163"/>
      <c r="M213" s="163"/>
      <c r="N213" s="163"/>
      <c r="O213" s="163"/>
    </row>
    <row r="214" spans="4:15" x14ac:dyDescent="0.25">
      <c r="D214" s="164"/>
    </row>
    <row r="215" spans="4:15" x14ac:dyDescent="0.25">
      <c r="D215" s="164"/>
    </row>
    <row r="216" spans="4:15" x14ac:dyDescent="0.25">
      <c r="D216" s="164"/>
    </row>
    <row r="217" spans="4:15" x14ac:dyDescent="0.25">
      <c r="D217" s="163"/>
    </row>
    <row r="218" spans="4:15" x14ac:dyDescent="0.25">
      <c r="D218" s="163"/>
    </row>
    <row r="219" spans="4:15" x14ac:dyDescent="0.25">
      <c r="D219" s="163"/>
    </row>
    <row r="220" spans="4:15" x14ac:dyDescent="0.25">
      <c r="D220" s="163"/>
    </row>
    <row r="221" spans="4:15" x14ac:dyDescent="0.25">
      <c r="D221" s="163"/>
    </row>
    <row r="222" spans="4:15" x14ac:dyDescent="0.25">
      <c r="D222" s="163"/>
    </row>
    <row r="223" spans="4:15" x14ac:dyDescent="0.25">
      <c r="D223" s="163"/>
    </row>
    <row r="224" spans="4:15" x14ac:dyDescent="0.25">
      <c r="D224" s="163"/>
    </row>
    <row r="225" spans="4:15" x14ac:dyDescent="0.25">
      <c r="D225" s="163"/>
    </row>
    <row r="226" spans="4:15" x14ac:dyDescent="0.25">
      <c r="D226" s="163"/>
    </row>
    <row r="227" spans="4:15" x14ac:dyDescent="0.25">
      <c r="D227" s="163"/>
    </row>
    <row r="228" spans="4:15" x14ac:dyDescent="0.25">
      <c r="D228" s="163"/>
      <c r="E228" s="163"/>
      <c r="F228" s="163"/>
      <c r="G228" s="163"/>
      <c r="H228" s="163"/>
      <c r="I228" s="163"/>
      <c r="J228" s="163"/>
      <c r="K228" s="163"/>
      <c r="L228" s="163"/>
      <c r="M228" s="163"/>
      <c r="N228" s="163"/>
      <c r="O228" s="163"/>
    </row>
    <row r="231" spans="4:15" x14ac:dyDescent="0.25">
      <c r="D231" s="163"/>
    </row>
    <row r="232" spans="4:15" x14ac:dyDescent="0.25">
      <c r="D232" s="163"/>
    </row>
    <row r="233" spans="4:15" x14ac:dyDescent="0.25">
      <c r="D233" s="163"/>
    </row>
    <row r="234" spans="4:15" x14ac:dyDescent="0.25">
      <c r="D234" s="163"/>
    </row>
    <row r="235" spans="4:15" x14ac:dyDescent="0.25">
      <c r="D235" s="163"/>
    </row>
    <row r="236" spans="4:15" x14ac:dyDescent="0.25">
      <c r="D236" s="163"/>
    </row>
    <row r="237" spans="4:15" x14ac:dyDescent="0.25">
      <c r="D237" s="163"/>
    </row>
    <row r="238" spans="4:15" x14ac:dyDescent="0.25">
      <c r="D238" s="163"/>
    </row>
    <row r="239" spans="4:15" x14ac:dyDescent="0.25">
      <c r="D239" s="163"/>
    </row>
    <row r="240" spans="4:15" x14ac:dyDescent="0.25">
      <c r="D240" s="163"/>
    </row>
    <row r="241" spans="4:15" x14ac:dyDescent="0.25">
      <c r="D241" s="163"/>
      <c r="E241" s="163"/>
      <c r="F241" s="163"/>
      <c r="G241" s="163"/>
      <c r="H241" s="163"/>
      <c r="I241" s="163"/>
      <c r="J241" s="163"/>
      <c r="K241" s="163"/>
      <c r="L241" s="163"/>
      <c r="M241" s="163"/>
      <c r="N241" s="163"/>
      <c r="O241" s="163"/>
    </row>
    <row r="242" spans="4:15" x14ac:dyDescent="0.25">
      <c r="D242" s="163"/>
    </row>
    <row r="245" spans="4:15" x14ac:dyDescent="0.25">
      <c r="D245" s="163"/>
    </row>
    <row r="246" spans="4:15" x14ac:dyDescent="0.25">
      <c r="D246" s="163"/>
    </row>
    <row r="247" spans="4:15" x14ac:dyDescent="0.25">
      <c r="D247" s="163"/>
    </row>
    <row r="248" spans="4:15" x14ac:dyDescent="0.25">
      <c r="D248" s="163"/>
    </row>
    <row r="249" spans="4:15" x14ac:dyDescent="0.25">
      <c r="D249" s="163"/>
    </row>
    <row r="250" spans="4:15" x14ac:dyDescent="0.25">
      <c r="D250" s="163"/>
    </row>
    <row r="251" spans="4:15" x14ac:dyDescent="0.25">
      <c r="D251" s="163"/>
    </row>
    <row r="252" spans="4:15" x14ac:dyDescent="0.25">
      <c r="D252" s="163"/>
      <c r="E252" s="163"/>
      <c r="F252" s="163"/>
      <c r="G252" s="163"/>
      <c r="H252" s="163"/>
      <c r="I252" s="163"/>
      <c r="J252" s="163"/>
      <c r="K252" s="163"/>
      <c r="L252" s="163"/>
      <c r="M252" s="163"/>
      <c r="N252" s="163"/>
      <c r="O252" s="163"/>
    </row>
    <row r="253" spans="4:15" x14ac:dyDescent="0.25">
      <c r="D253" s="163"/>
    </row>
    <row r="254" spans="4:15" x14ac:dyDescent="0.25">
      <c r="D254" s="163"/>
    </row>
    <row r="255" spans="4:15" x14ac:dyDescent="0.25">
      <c r="D255" s="163"/>
    </row>
    <row r="256" spans="4:15" x14ac:dyDescent="0.25">
      <c r="D256" s="163"/>
    </row>
    <row r="259" spans="4:15" x14ac:dyDescent="0.25">
      <c r="D259" s="163"/>
    </row>
    <row r="260" spans="4:15" x14ac:dyDescent="0.25">
      <c r="D260" s="163"/>
    </row>
    <row r="261" spans="4:15" x14ac:dyDescent="0.25">
      <c r="D261" s="163"/>
    </row>
    <row r="262" spans="4:15" x14ac:dyDescent="0.25">
      <c r="D262" s="163"/>
    </row>
    <row r="263" spans="4:15" x14ac:dyDescent="0.25">
      <c r="D263" s="163"/>
    </row>
    <row r="264" spans="4:15" x14ac:dyDescent="0.25">
      <c r="D264" s="163"/>
    </row>
    <row r="265" spans="4:15" x14ac:dyDescent="0.25">
      <c r="D265" s="163"/>
    </row>
    <row r="266" spans="4:15" x14ac:dyDescent="0.25">
      <c r="D266" s="163"/>
    </row>
    <row r="267" spans="4:15" x14ac:dyDescent="0.25">
      <c r="D267" s="163"/>
      <c r="E267" s="163"/>
      <c r="F267" s="163"/>
      <c r="G267" s="163"/>
      <c r="H267" s="163"/>
      <c r="I267" s="163"/>
      <c r="J267" s="163"/>
      <c r="K267" s="163"/>
      <c r="L267" s="163"/>
      <c r="M267" s="163"/>
      <c r="N267" s="163"/>
      <c r="O267" s="163"/>
    </row>
    <row r="268" spans="4:15" x14ac:dyDescent="0.25">
      <c r="D268" s="163"/>
    </row>
    <row r="269" spans="4:15" x14ac:dyDescent="0.25">
      <c r="D269" s="163"/>
    </row>
    <row r="270" spans="4:15" x14ac:dyDescent="0.25">
      <c r="D270" s="163"/>
    </row>
    <row r="273" spans="4:15" x14ac:dyDescent="0.25">
      <c r="D273" s="163"/>
    </row>
    <row r="274" spans="4:15" x14ac:dyDescent="0.25">
      <c r="D274" s="163"/>
    </row>
    <row r="275" spans="4:15" x14ac:dyDescent="0.25">
      <c r="D275" s="163"/>
    </row>
    <row r="276" spans="4:15" x14ac:dyDescent="0.25">
      <c r="D276" s="163"/>
    </row>
    <row r="277" spans="4:15" x14ac:dyDescent="0.25">
      <c r="D277" s="163"/>
    </row>
    <row r="278" spans="4:15" x14ac:dyDescent="0.25">
      <c r="D278" s="163"/>
    </row>
    <row r="279" spans="4:15" x14ac:dyDescent="0.25">
      <c r="D279" s="163"/>
    </row>
    <row r="280" spans="4:15" x14ac:dyDescent="0.25">
      <c r="D280" s="163"/>
    </row>
    <row r="281" spans="4:15" x14ac:dyDescent="0.25">
      <c r="D281" s="163"/>
      <c r="E281" s="163"/>
      <c r="F281" s="163"/>
      <c r="G281" s="163"/>
      <c r="H281" s="163"/>
      <c r="I281" s="163"/>
      <c r="J281" s="163"/>
      <c r="K281" s="163"/>
      <c r="L281" s="163"/>
      <c r="M281" s="163"/>
      <c r="N281" s="163"/>
      <c r="O281" s="163"/>
    </row>
    <row r="282" spans="4:15" x14ac:dyDescent="0.25">
      <c r="D282" s="163"/>
    </row>
    <row r="283" spans="4:15" x14ac:dyDescent="0.25">
      <c r="D283" s="163"/>
    </row>
    <row r="284" spans="4:15" x14ac:dyDescent="0.25">
      <c r="D284" s="163"/>
    </row>
    <row r="288" spans="4:15" x14ac:dyDescent="0.25">
      <c r="D288" s="163"/>
    </row>
    <row r="289" spans="4:4" x14ac:dyDescent="0.25">
      <c r="D289" s="163"/>
    </row>
    <row r="290" spans="4:4" x14ac:dyDescent="0.25">
      <c r="D290" s="163"/>
    </row>
    <row r="291" spans="4:4" x14ac:dyDescent="0.25">
      <c r="D291" s="163"/>
    </row>
    <row r="292" spans="4:4" x14ac:dyDescent="0.25">
      <c r="D292" s="163"/>
    </row>
    <row r="293" spans="4:4" x14ac:dyDescent="0.25">
      <c r="D293" s="163"/>
    </row>
    <row r="294" spans="4:4" x14ac:dyDescent="0.25">
      <c r="D294" s="163"/>
    </row>
    <row r="295" spans="4:4" x14ac:dyDescent="0.25">
      <c r="D295" s="163"/>
    </row>
    <row r="296" spans="4:4" x14ac:dyDescent="0.25">
      <c r="D296" s="163"/>
    </row>
    <row r="297" spans="4:4" x14ac:dyDescent="0.25">
      <c r="D297" s="163"/>
    </row>
    <row r="298" spans="4:4" x14ac:dyDescent="0.25">
      <c r="D298" s="163"/>
    </row>
    <row r="299" spans="4:4" x14ac:dyDescent="0.25">
      <c r="D299" s="163"/>
    </row>
  </sheetData>
  <mergeCells count="1">
    <mergeCell ref="C3:O3"/>
  </mergeCells>
  <phoneticPr fontId="4" type="noConversion"/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5:P126"/>
  <sheetViews>
    <sheetView topLeftCell="B1" workbookViewId="0">
      <selection activeCell="H45" sqref="H45"/>
    </sheetView>
  </sheetViews>
  <sheetFormatPr defaultRowHeight="15" x14ac:dyDescent="0.25"/>
  <cols>
    <col min="1" max="1" width="3.42578125" hidden="1" customWidth="1"/>
    <col min="2" max="2" width="26.85546875" customWidth="1"/>
    <col min="3" max="3" width="16.85546875" bestFit="1" customWidth="1"/>
    <col min="4" max="4" width="14.28515625" bestFit="1" customWidth="1"/>
    <col min="5" max="14" width="15.85546875" bestFit="1" customWidth="1"/>
    <col min="15" max="15" width="5.5703125" customWidth="1"/>
  </cols>
  <sheetData>
    <row r="5" spans="2:16" ht="15.75" thickBot="1" x14ac:dyDescent="0.3">
      <c r="B5" s="3" t="s">
        <v>52</v>
      </c>
      <c r="C5" s="9" t="str">
        <f>'P &amp; L'!D5</f>
        <v>jan</v>
      </c>
      <c r="D5" s="3" t="str">
        <f>'P &amp; L'!E5</f>
        <v>fev</v>
      </c>
      <c r="E5" s="3" t="str">
        <f>'P &amp; L'!F5</f>
        <v>mar</v>
      </c>
      <c r="F5" s="3" t="str">
        <f>'P &amp; L'!G5</f>
        <v>abr</v>
      </c>
      <c r="G5" s="3" t="str">
        <f>'P &amp; L'!H5</f>
        <v>mai</v>
      </c>
      <c r="H5" s="3" t="str">
        <f>'P &amp; L'!I5</f>
        <v>jun</v>
      </c>
      <c r="I5" s="3" t="str">
        <f>'P &amp; L'!J5</f>
        <v>jul</v>
      </c>
      <c r="J5" s="3" t="str">
        <f>'P &amp; L'!K5</f>
        <v>ago</v>
      </c>
      <c r="K5" s="3" t="str">
        <f>'P &amp; L'!L5</f>
        <v>set</v>
      </c>
      <c r="L5" s="3" t="str">
        <f>'P &amp; L'!M5</f>
        <v>out</v>
      </c>
      <c r="M5" s="3" t="str">
        <f>'P &amp; L'!N5</f>
        <v>nov</v>
      </c>
      <c r="N5" s="3" t="str">
        <f>'P &amp; L'!O5</f>
        <v>dez</v>
      </c>
      <c r="O5" s="15"/>
      <c r="P5" s="15"/>
    </row>
    <row r="6" spans="2:16" x14ac:dyDescent="0.25">
      <c r="B6" s="7" t="s">
        <v>53</v>
      </c>
      <c r="C6" s="10">
        <f>'P &amp; L'!D7</f>
        <v>550000</v>
      </c>
      <c r="D6" s="10">
        <f>'P &amp; L'!E7</f>
        <v>580000</v>
      </c>
      <c r="E6" s="10">
        <f>'P &amp; L'!F7</f>
        <v>620000</v>
      </c>
      <c r="F6" s="10">
        <f>'P &amp; L'!G7</f>
        <v>660000</v>
      </c>
      <c r="G6" s="10">
        <f>'P &amp; L'!H7</f>
        <v>700000</v>
      </c>
      <c r="H6" s="10">
        <f>'P &amp; L'!I7</f>
        <v>730000</v>
      </c>
      <c r="I6" s="10">
        <f>'P &amp; L'!J7</f>
        <v>760000</v>
      </c>
      <c r="J6" s="10">
        <f>'P &amp; L'!K7</f>
        <v>790000</v>
      </c>
      <c r="K6" s="10">
        <f>'P &amp; L'!L7</f>
        <v>820000</v>
      </c>
      <c r="L6" s="10">
        <f>'P &amp; L'!M7</f>
        <v>870000</v>
      </c>
      <c r="M6" s="10">
        <f>'P &amp; L'!N7</f>
        <v>950000</v>
      </c>
      <c r="N6" s="10">
        <f>'P &amp; L'!O7</f>
        <v>1080000</v>
      </c>
    </row>
    <row r="7" spans="2:16" x14ac:dyDescent="0.25">
      <c r="C7" s="15"/>
      <c r="D7" s="15"/>
      <c r="E7" s="15"/>
      <c r="F7" s="15"/>
      <c r="G7" s="15"/>
      <c r="H7" s="15"/>
      <c r="I7" s="15"/>
      <c r="J7" s="15"/>
      <c r="K7" s="15"/>
      <c r="L7" s="15"/>
      <c r="M7" s="15"/>
      <c r="N7" s="15"/>
    </row>
    <row r="8" spans="2:16" x14ac:dyDescent="0.25">
      <c r="B8" t="s">
        <v>54</v>
      </c>
      <c r="C8" s="17"/>
      <c r="D8" s="17"/>
      <c r="E8" s="17"/>
      <c r="F8" s="17"/>
      <c r="G8" s="17"/>
      <c r="H8" s="17"/>
      <c r="I8" s="17"/>
      <c r="J8" s="17"/>
      <c r="K8" s="17"/>
      <c r="L8" s="17"/>
      <c r="M8" s="17"/>
      <c r="N8" s="17"/>
    </row>
    <row r="9" spans="2:16" x14ac:dyDescent="0.25">
      <c r="B9" s="4" t="str">
        <f>'P &amp; L'!C10</f>
        <v>Aparecida</v>
      </c>
      <c r="C9" s="15">
        <f>'P &amp; L'!D10</f>
        <v>70000</v>
      </c>
      <c r="D9" s="15">
        <f>'P &amp; L'!E10</f>
        <v>75000</v>
      </c>
      <c r="E9" s="15">
        <f>'P &amp; L'!F10</f>
        <v>80000</v>
      </c>
      <c r="F9" s="15">
        <f>'P &amp; L'!G10</f>
        <v>85000</v>
      </c>
      <c r="G9" s="15">
        <f>'P &amp; L'!H10</f>
        <v>90000</v>
      </c>
      <c r="H9" s="15">
        <f>'P &amp; L'!I10</f>
        <v>95000</v>
      </c>
      <c r="I9" s="15">
        <f>'P &amp; L'!J10</f>
        <v>100000</v>
      </c>
      <c r="J9" s="15">
        <f>'P &amp; L'!K10</f>
        <v>105000</v>
      </c>
      <c r="K9" s="15">
        <f>'P &amp; L'!L10</f>
        <v>110000</v>
      </c>
      <c r="L9" s="15">
        <f>'P &amp; L'!M10</f>
        <v>120000</v>
      </c>
      <c r="M9" s="15">
        <f>'P &amp; L'!N10</f>
        <v>130000</v>
      </c>
      <c r="N9" s="15">
        <f>'P &amp; L'!O10</f>
        <v>150000</v>
      </c>
    </row>
    <row r="10" spans="2:16" x14ac:dyDescent="0.25">
      <c r="B10" s="4" t="s">
        <v>55</v>
      </c>
      <c r="C10" s="16">
        <f>C9/C6</f>
        <v>0.12727272727272726</v>
      </c>
      <c r="D10" s="16">
        <f t="shared" ref="D10:N10" si="0">D9/D6</f>
        <v>0.12931034482758622</v>
      </c>
      <c r="E10" s="16">
        <f t="shared" si="0"/>
        <v>0.12903225806451613</v>
      </c>
      <c r="F10" s="16">
        <f t="shared" si="0"/>
        <v>0.12878787878787878</v>
      </c>
      <c r="G10" s="16">
        <f t="shared" si="0"/>
        <v>0.12857142857142856</v>
      </c>
      <c r="H10" s="16">
        <f t="shared" si="0"/>
        <v>0.13013698630136986</v>
      </c>
      <c r="I10" s="16">
        <f t="shared" si="0"/>
        <v>0.13157894736842105</v>
      </c>
      <c r="J10" s="16">
        <f t="shared" si="0"/>
        <v>0.13291139240506328</v>
      </c>
      <c r="K10" s="16">
        <f t="shared" si="0"/>
        <v>0.13414634146341464</v>
      </c>
      <c r="L10" s="16">
        <f t="shared" si="0"/>
        <v>0.13793103448275862</v>
      </c>
      <c r="M10" s="16">
        <f t="shared" si="0"/>
        <v>0.1368421052631579</v>
      </c>
      <c r="N10" s="16">
        <f t="shared" si="0"/>
        <v>0.1388888888888889</v>
      </c>
    </row>
    <row r="12" spans="2:16" x14ac:dyDescent="0.25">
      <c r="B12" s="4" t="str">
        <f>'P &amp; L'!C11</f>
        <v>Caçapava</v>
      </c>
      <c r="C12" s="15">
        <f>'P &amp; L'!D11</f>
        <v>80000</v>
      </c>
      <c r="D12" s="15">
        <f>'P &amp; L'!E11</f>
        <v>85000</v>
      </c>
      <c r="E12" s="15">
        <f>'P &amp; L'!F11</f>
        <v>90000</v>
      </c>
      <c r="F12" s="15">
        <f>'P &amp; L'!G11</f>
        <v>95000</v>
      </c>
      <c r="G12" s="15">
        <f>'P &amp; L'!H11</f>
        <v>100000</v>
      </c>
      <c r="H12" s="15">
        <f>'P &amp; L'!I11</f>
        <v>105000</v>
      </c>
      <c r="I12" s="15">
        <f>'P &amp; L'!J11</f>
        <v>110000</v>
      </c>
      <c r="J12" s="15">
        <f>'P &amp; L'!K11</f>
        <v>115000</v>
      </c>
      <c r="K12" s="15">
        <f>'P &amp; L'!L11</f>
        <v>120000</v>
      </c>
      <c r="L12" s="15">
        <f>'P &amp; L'!M11</f>
        <v>130000</v>
      </c>
      <c r="M12" s="15">
        <f>'P &amp; L'!N11</f>
        <v>140000</v>
      </c>
      <c r="N12" s="15">
        <f>'P &amp; L'!O11</f>
        <v>160000</v>
      </c>
    </row>
    <row r="13" spans="2:16" x14ac:dyDescent="0.25">
      <c r="B13" s="4" t="s">
        <v>56</v>
      </c>
      <c r="C13" s="16">
        <f>C12/C6</f>
        <v>0.14545454545454545</v>
      </c>
      <c r="D13" s="16">
        <f t="shared" ref="D13:N13" si="1">D12/D6</f>
        <v>0.14655172413793102</v>
      </c>
      <c r="E13" s="16">
        <f t="shared" si="1"/>
        <v>0.14516129032258066</v>
      </c>
      <c r="F13" s="16">
        <f t="shared" si="1"/>
        <v>0.14393939393939395</v>
      </c>
      <c r="G13" s="16">
        <f t="shared" si="1"/>
        <v>0.14285714285714285</v>
      </c>
      <c r="H13" s="16">
        <f t="shared" si="1"/>
        <v>0.14383561643835616</v>
      </c>
      <c r="I13" s="16">
        <f t="shared" si="1"/>
        <v>0.14473684210526316</v>
      </c>
      <c r="J13" s="16">
        <f t="shared" si="1"/>
        <v>0.14556962025316456</v>
      </c>
      <c r="K13" s="16">
        <f t="shared" si="1"/>
        <v>0.14634146341463414</v>
      </c>
      <c r="L13" s="16">
        <f t="shared" si="1"/>
        <v>0.14942528735632185</v>
      </c>
      <c r="M13" s="16">
        <f t="shared" si="1"/>
        <v>0.14736842105263157</v>
      </c>
      <c r="N13" s="16">
        <f t="shared" si="1"/>
        <v>0.14814814814814814</v>
      </c>
    </row>
    <row r="15" spans="2:16" x14ac:dyDescent="0.25">
      <c r="B15" s="4" t="str">
        <f>'P &amp; L'!C12</f>
        <v>Jacarei</v>
      </c>
      <c r="C15" s="15">
        <f>'P &amp; L'!D12</f>
        <v>120000</v>
      </c>
      <c r="D15" s="15">
        <f>'P &amp; L'!E12</f>
        <v>125000</v>
      </c>
      <c r="E15" s="15">
        <f>'P &amp; L'!F12</f>
        <v>130000</v>
      </c>
      <c r="F15" s="15">
        <f>'P &amp; L'!G12</f>
        <v>140000</v>
      </c>
      <c r="G15" s="15">
        <f>'P &amp; L'!H12</f>
        <v>150000</v>
      </c>
      <c r="H15" s="15">
        <f>'P &amp; L'!I12</f>
        <v>155000</v>
      </c>
      <c r="I15" s="15">
        <f>'P &amp; L'!J12</f>
        <v>160000</v>
      </c>
      <c r="J15" s="15">
        <f>'P &amp; L'!K12</f>
        <v>165000</v>
      </c>
      <c r="K15" s="15">
        <f>'P &amp; L'!L12</f>
        <v>170000</v>
      </c>
      <c r="L15" s="15">
        <f>'P &amp; L'!M12</f>
        <v>180000</v>
      </c>
      <c r="M15" s="15">
        <f>'P &amp; L'!N12</f>
        <v>200000</v>
      </c>
      <c r="N15" s="15">
        <f>'P &amp; L'!O12</f>
        <v>220000</v>
      </c>
    </row>
    <row r="16" spans="2:16" x14ac:dyDescent="0.25">
      <c r="B16" s="4" t="s">
        <v>57</v>
      </c>
      <c r="C16" s="16">
        <f>C15/C6</f>
        <v>0.21818181818181817</v>
      </c>
      <c r="D16" s="16">
        <f t="shared" ref="D16:N16" si="2">D15/D6</f>
        <v>0.21551724137931033</v>
      </c>
      <c r="E16" s="16">
        <f t="shared" si="2"/>
        <v>0.20967741935483872</v>
      </c>
      <c r="F16" s="16">
        <f t="shared" si="2"/>
        <v>0.21212121212121213</v>
      </c>
      <c r="G16" s="16">
        <f t="shared" si="2"/>
        <v>0.21428571428571427</v>
      </c>
      <c r="H16" s="16">
        <f t="shared" si="2"/>
        <v>0.21232876712328766</v>
      </c>
      <c r="I16" s="16">
        <f t="shared" si="2"/>
        <v>0.21052631578947367</v>
      </c>
      <c r="J16" s="16">
        <f t="shared" si="2"/>
        <v>0.20886075949367089</v>
      </c>
      <c r="K16" s="16">
        <f t="shared" si="2"/>
        <v>0.2073170731707317</v>
      </c>
      <c r="L16" s="16">
        <f t="shared" si="2"/>
        <v>0.20689655172413793</v>
      </c>
      <c r="M16" s="16">
        <f t="shared" si="2"/>
        <v>0.21052631578947367</v>
      </c>
      <c r="N16" s="16">
        <f t="shared" si="2"/>
        <v>0.20370370370370369</v>
      </c>
    </row>
    <row r="18" spans="2:14" x14ac:dyDescent="0.25">
      <c r="B18" s="4" t="str">
        <f>'P &amp; L'!C13</f>
        <v>SJC</v>
      </c>
      <c r="C18" s="15">
        <f>'P &amp; L'!D13</f>
        <v>180000</v>
      </c>
      <c r="D18" s="15">
        <f>'P &amp; L'!E13</f>
        <v>190000</v>
      </c>
      <c r="E18" s="15">
        <f>'P &amp; L'!F13</f>
        <v>210000</v>
      </c>
      <c r="F18" s="15">
        <f>'P &amp; L'!G13</f>
        <v>220000</v>
      </c>
      <c r="G18" s="15">
        <f>'P &amp; L'!H13</f>
        <v>230000</v>
      </c>
      <c r="H18" s="15">
        <f>'P &amp; L'!I13</f>
        <v>240000</v>
      </c>
      <c r="I18" s="15">
        <f>'P &amp; L'!J13</f>
        <v>250000</v>
      </c>
      <c r="J18" s="15">
        <f>'P &amp; L'!K13</f>
        <v>260000</v>
      </c>
      <c r="K18" s="15">
        <f>'P &amp; L'!L13</f>
        <v>270000</v>
      </c>
      <c r="L18" s="15">
        <f>'P &amp; L'!M13</f>
        <v>280000</v>
      </c>
      <c r="M18" s="15">
        <f>'P &amp; L'!N13</f>
        <v>300000</v>
      </c>
      <c r="N18" s="15">
        <f>'P &amp; L'!O13</f>
        <v>350000</v>
      </c>
    </row>
    <row r="19" spans="2:14" x14ac:dyDescent="0.25">
      <c r="B19" s="4" t="s">
        <v>58</v>
      </c>
      <c r="C19" s="16">
        <f>C18/C6</f>
        <v>0.32727272727272727</v>
      </c>
      <c r="D19" s="16">
        <f t="shared" ref="D19:N19" si="3">D18/D6</f>
        <v>0.32758620689655171</v>
      </c>
      <c r="E19" s="16">
        <f t="shared" si="3"/>
        <v>0.33870967741935482</v>
      </c>
      <c r="F19" s="16">
        <f t="shared" si="3"/>
        <v>0.33333333333333331</v>
      </c>
      <c r="G19" s="16">
        <f t="shared" si="3"/>
        <v>0.32857142857142857</v>
      </c>
      <c r="H19" s="16">
        <f t="shared" si="3"/>
        <v>0.32876712328767121</v>
      </c>
      <c r="I19" s="16">
        <f t="shared" si="3"/>
        <v>0.32894736842105265</v>
      </c>
      <c r="J19" s="16">
        <f t="shared" si="3"/>
        <v>0.32911392405063289</v>
      </c>
      <c r="K19" s="16">
        <f t="shared" si="3"/>
        <v>0.32926829268292684</v>
      </c>
      <c r="L19" s="16">
        <f t="shared" si="3"/>
        <v>0.32183908045977011</v>
      </c>
      <c r="M19" s="16">
        <f t="shared" si="3"/>
        <v>0.31578947368421051</v>
      </c>
      <c r="N19" s="16">
        <f t="shared" si="3"/>
        <v>0.32407407407407407</v>
      </c>
    </row>
    <row r="21" spans="2:14" x14ac:dyDescent="0.25">
      <c r="B21" s="4" t="str">
        <f>'P &amp; L'!C14</f>
        <v>Taubaté</v>
      </c>
      <c r="C21" s="15">
        <f>'P &amp; L'!D14</f>
        <v>100000</v>
      </c>
      <c r="D21" s="15">
        <f>'P &amp; L'!E14</f>
        <v>105000</v>
      </c>
      <c r="E21" s="15">
        <f>'P &amp; L'!F14</f>
        <v>110000</v>
      </c>
      <c r="F21" s="15">
        <f>'P &amp; L'!G14</f>
        <v>120000</v>
      </c>
      <c r="G21" s="15">
        <f>'P &amp; L'!H14</f>
        <v>130000</v>
      </c>
      <c r="H21" s="15">
        <f>'P &amp; L'!I14</f>
        <v>135000</v>
      </c>
      <c r="I21" s="15">
        <f>'P &amp; L'!J14</f>
        <v>140000</v>
      </c>
      <c r="J21" s="15">
        <f>'P &amp; L'!K14</f>
        <v>145000</v>
      </c>
      <c r="K21" s="15">
        <f>'P &amp; L'!L14</f>
        <v>150000</v>
      </c>
      <c r="L21" s="15">
        <f>'P &amp; L'!M14</f>
        <v>160000</v>
      </c>
      <c r="M21" s="15">
        <f>'P &amp; L'!N14</f>
        <v>180000</v>
      </c>
      <c r="N21" s="15">
        <f>'P &amp; L'!O14</f>
        <v>200000</v>
      </c>
    </row>
    <row r="22" spans="2:14" x14ac:dyDescent="0.25">
      <c r="B22" s="4" t="s">
        <v>59</v>
      </c>
      <c r="C22" s="16">
        <f>C21/C6</f>
        <v>0.18181818181818182</v>
      </c>
      <c r="D22" s="16">
        <f t="shared" ref="D22:N22" si="4">D21/D6</f>
        <v>0.18103448275862069</v>
      </c>
      <c r="E22" s="16">
        <f t="shared" si="4"/>
        <v>0.17741935483870969</v>
      </c>
      <c r="F22" s="16">
        <f t="shared" si="4"/>
        <v>0.18181818181818182</v>
      </c>
      <c r="G22" s="16">
        <f t="shared" si="4"/>
        <v>0.18571428571428572</v>
      </c>
      <c r="H22" s="16">
        <f t="shared" si="4"/>
        <v>0.18493150684931506</v>
      </c>
      <c r="I22" s="16">
        <f t="shared" si="4"/>
        <v>0.18421052631578946</v>
      </c>
      <c r="J22" s="16">
        <f t="shared" si="4"/>
        <v>0.18354430379746836</v>
      </c>
      <c r="K22" s="16">
        <f t="shared" si="4"/>
        <v>0.18292682926829268</v>
      </c>
      <c r="L22" s="16">
        <f t="shared" si="4"/>
        <v>0.18390804597701149</v>
      </c>
      <c r="M22" s="16">
        <f t="shared" si="4"/>
        <v>0.18947368421052632</v>
      </c>
      <c r="N22" s="16">
        <f t="shared" si="4"/>
        <v>0.18518518518518517</v>
      </c>
    </row>
    <row r="24" spans="2:14" x14ac:dyDescent="0.25">
      <c r="B24" s="4"/>
      <c r="C24" s="15"/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5"/>
    </row>
    <row r="30" spans="2:14" ht="14.25" customHeight="1" x14ac:dyDescent="0.25">
      <c r="B30" s="20" t="str">
        <f>'P &amp; L'!C22</f>
        <v>diretas</v>
      </c>
      <c r="C30" s="21">
        <f>'P &amp; L'!D22</f>
        <v>275000</v>
      </c>
      <c r="D30" s="21">
        <f>'P &amp; L'!E22</f>
        <v>290000</v>
      </c>
      <c r="E30" s="21">
        <f>'P &amp; L'!F22</f>
        <v>310000</v>
      </c>
      <c r="F30" s="21">
        <f>'P &amp; L'!G22</f>
        <v>330000</v>
      </c>
      <c r="G30" s="21">
        <f>'P &amp; L'!H22</f>
        <v>350000</v>
      </c>
      <c r="H30" s="21">
        <f>'P &amp; L'!I22</f>
        <v>365000</v>
      </c>
      <c r="I30" s="21">
        <f>'P &amp; L'!J22</f>
        <v>380000</v>
      </c>
      <c r="J30" s="21">
        <f>'P &amp; L'!K22</f>
        <v>395000</v>
      </c>
      <c r="K30" s="21">
        <f>'P &amp; L'!L22</f>
        <v>410000</v>
      </c>
      <c r="L30" s="21">
        <f>'P &amp; L'!M22</f>
        <v>435000</v>
      </c>
      <c r="M30" s="21">
        <f>'P &amp; L'!N22</f>
        <v>475000</v>
      </c>
      <c r="N30" s="21">
        <f>'P &amp; L'!O22</f>
        <v>540000</v>
      </c>
    </row>
    <row r="31" spans="2:14" x14ac:dyDescent="0.25">
      <c r="B31" s="4" t="s">
        <v>60</v>
      </c>
      <c r="C31" s="22">
        <f t="shared" ref="C31:N31" si="5">C30/C6</f>
        <v>0.5</v>
      </c>
      <c r="D31" s="22">
        <f t="shared" si="5"/>
        <v>0.5</v>
      </c>
      <c r="E31" s="22">
        <f t="shared" si="5"/>
        <v>0.5</v>
      </c>
      <c r="F31" s="22">
        <f t="shared" si="5"/>
        <v>0.5</v>
      </c>
      <c r="G31" s="22">
        <f t="shared" si="5"/>
        <v>0.5</v>
      </c>
      <c r="H31" s="22">
        <f t="shared" si="5"/>
        <v>0.5</v>
      </c>
      <c r="I31" s="22">
        <f t="shared" si="5"/>
        <v>0.5</v>
      </c>
      <c r="J31" s="22">
        <f t="shared" si="5"/>
        <v>0.5</v>
      </c>
      <c r="K31" s="22">
        <f t="shared" si="5"/>
        <v>0.5</v>
      </c>
      <c r="L31" s="22">
        <f t="shared" si="5"/>
        <v>0.5</v>
      </c>
      <c r="M31" s="22">
        <f t="shared" si="5"/>
        <v>0.5</v>
      </c>
      <c r="N31" s="22">
        <f t="shared" si="5"/>
        <v>0.5</v>
      </c>
    </row>
    <row r="32" spans="2:14" x14ac:dyDescent="0.25">
      <c r="B32" s="20" t="str">
        <f>'P &amp; L'!C23</f>
        <v>e-comerce</v>
      </c>
      <c r="C32" s="21">
        <f>'P &amp; L'!D23</f>
        <v>165000</v>
      </c>
      <c r="D32" s="21">
        <f>'P &amp; L'!E23</f>
        <v>174000</v>
      </c>
      <c r="E32" s="21">
        <f>'P &amp; L'!F23</f>
        <v>186000</v>
      </c>
      <c r="F32" s="21">
        <f>'P &amp; L'!G23</f>
        <v>198000</v>
      </c>
      <c r="G32" s="21">
        <f>'P &amp; L'!H23</f>
        <v>210000</v>
      </c>
      <c r="H32" s="21">
        <f>'P &amp; L'!I23</f>
        <v>219000</v>
      </c>
      <c r="I32" s="21">
        <f>'P &amp; L'!J23</f>
        <v>228000</v>
      </c>
      <c r="J32" s="21">
        <f>'P &amp; L'!K23</f>
        <v>237000</v>
      </c>
      <c r="K32" s="21">
        <f>'P &amp; L'!L23</f>
        <v>246000</v>
      </c>
      <c r="L32" s="21">
        <f>'P &amp; L'!M23</f>
        <v>261000</v>
      </c>
      <c r="M32" s="21">
        <f>'P &amp; L'!N23</f>
        <v>285000</v>
      </c>
      <c r="N32" s="21">
        <f>'P &amp; L'!O23</f>
        <v>324000</v>
      </c>
    </row>
    <row r="33" spans="2:14" x14ac:dyDescent="0.25">
      <c r="B33" s="4" t="s">
        <v>61</v>
      </c>
      <c r="C33" s="22">
        <f t="shared" ref="C33:N33" si="6">C32/C6</f>
        <v>0.3</v>
      </c>
      <c r="D33" s="22">
        <f t="shared" si="6"/>
        <v>0.3</v>
      </c>
      <c r="E33" s="22">
        <f t="shared" si="6"/>
        <v>0.3</v>
      </c>
      <c r="F33" s="22">
        <f t="shared" si="6"/>
        <v>0.3</v>
      </c>
      <c r="G33" s="22">
        <f t="shared" si="6"/>
        <v>0.3</v>
      </c>
      <c r="H33" s="22">
        <f t="shared" si="6"/>
        <v>0.3</v>
      </c>
      <c r="I33" s="22">
        <f t="shared" si="6"/>
        <v>0.3</v>
      </c>
      <c r="J33" s="22">
        <f t="shared" si="6"/>
        <v>0.3</v>
      </c>
      <c r="K33" s="22">
        <f t="shared" si="6"/>
        <v>0.3</v>
      </c>
      <c r="L33" s="22">
        <f t="shared" si="6"/>
        <v>0.3</v>
      </c>
      <c r="M33" s="22">
        <f t="shared" si="6"/>
        <v>0.3</v>
      </c>
      <c r="N33" s="22">
        <f t="shared" si="6"/>
        <v>0.3</v>
      </c>
    </row>
    <row r="34" spans="2:14" x14ac:dyDescent="0.25">
      <c r="B34" s="20" t="str">
        <f>'P &amp; L'!C24</f>
        <v>representantes</v>
      </c>
      <c r="C34" s="21">
        <f>'P &amp; L'!D24</f>
        <v>110000</v>
      </c>
      <c r="D34" s="21">
        <f>'P &amp; L'!E24</f>
        <v>116000</v>
      </c>
      <c r="E34" s="21">
        <f>'P &amp; L'!F24</f>
        <v>124000</v>
      </c>
      <c r="F34" s="21">
        <f>'P &amp; L'!G24</f>
        <v>132000</v>
      </c>
      <c r="G34" s="21">
        <f>'P &amp; L'!H24</f>
        <v>140000</v>
      </c>
      <c r="H34" s="21">
        <f>'P &amp; L'!I24</f>
        <v>146000</v>
      </c>
      <c r="I34" s="21">
        <f>'P &amp; L'!J24</f>
        <v>152000</v>
      </c>
      <c r="J34" s="21">
        <f>'P &amp; L'!K24</f>
        <v>158000</v>
      </c>
      <c r="K34" s="21">
        <f>'P &amp; L'!L24</f>
        <v>164000</v>
      </c>
      <c r="L34" s="21">
        <f>'P &amp; L'!M24</f>
        <v>174000</v>
      </c>
      <c r="M34" s="21">
        <f>'P &amp; L'!N24</f>
        <v>190000</v>
      </c>
      <c r="N34" s="21">
        <f>'P &amp; L'!O24</f>
        <v>216000</v>
      </c>
    </row>
    <row r="35" spans="2:14" x14ac:dyDescent="0.25">
      <c r="B35" s="4" t="s">
        <v>62</v>
      </c>
      <c r="C35" s="22">
        <f t="shared" ref="C35:N35" si="7">C34/C6</f>
        <v>0.2</v>
      </c>
      <c r="D35" s="22">
        <f t="shared" si="7"/>
        <v>0.2</v>
      </c>
      <c r="E35" s="22">
        <f t="shared" si="7"/>
        <v>0.2</v>
      </c>
      <c r="F35" s="22">
        <f t="shared" si="7"/>
        <v>0.2</v>
      </c>
      <c r="G35" s="22">
        <f t="shared" si="7"/>
        <v>0.2</v>
      </c>
      <c r="H35" s="22">
        <f t="shared" si="7"/>
        <v>0.2</v>
      </c>
      <c r="I35" s="22">
        <f t="shared" si="7"/>
        <v>0.2</v>
      </c>
      <c r="J35" s="22">
        <f t="shared" si="7"/>
        <v>0.2</v>
      </c>
      <c r="K35" s="22">
        <f t="shared" si="7"/>
        <v>0.2</v>
      </c>
      <c r="L35" s="22">
        <f t="shared" si="7"/>
        <v>0.2</v>
      </c>
      <c r="M35" s="22">
        <f t="shared" si="7"/>
        <v>0.2</v>
      </c>
      <c r="N35" s="22">
        <f t="shared" si="7"/>
        <v>0.2</v>
      </c>
    </row>
    <row r="44" spans="2:14" x14ac:dyDescent="0.25">
      <c r="B44" s="7" t="str">
        <f>'P &amp; L'!C35</f>
        <v>Custo das Mercadorias vendidas</v>
      </c>
      <c r="C44" s="10">
        <f>'P &amp; L'!D35</f>
        <v>288794.27500000002</v>
      </c>
      <c r="D44" s="10">
        <f>'P &amp; L'!E35</f>
        <v>300257.3</v>
      </c>
      <c r="E44" s="10">
        <f>'P &amp; L'!F35</f>
        <v>316379.49</v>
      </c>
      <c r="F44" s="10">
        <f>'P &amp; L'!G35</f>
        <v>327028.8492</v>
      </c>
      <c r="G44" s="10">
        <f>'P &amp; L'!H35</f>
        <v>341672.1</v>
      </c>
      <c r="H44" s="10">
        <f>'P &amp; L'!I35</f>
        <v>350916.47499999998</v>
      </c>
      <c r="I44" s="10">
        <f>'P &amp; L'!J35</f>
        <v>359717.12</v>
      </c>
      <c r="J44" s="10">
        <f>'P &amp; L'!K35</f>
        <v>368074.62620000006</v>
      </c>
      <c r="K44" s="10">
        <f>'P &amp; L'!L35</f>
        <v>375987.25</v>
      </c>
      <c r="L44" s="10">
        <f>'P &amp; L'!M35</f>
        <v>392479.18500000006</v>
      </c>
      <c r="M44" s="10">
        <f>'P &amp; L'!N35</f>
        <v>421543.5</v>
      </c>
      <c r="N44" s="10">
        <f>'P &amp; L'!O35</f>
        <v>471242.64720000001</v>
      </c>
    </row>
    <row r="45" spans="2:14" x14ac:dyDescent="0.25">
      <c r="B45" s="5" t="str">
        <f>'P &amp; L'!C53</f>
        <v>Materiais</v>
      </c>
      <c r="C45" s="11">
        <f>'P &amp; L'!D53</f>
        <v>181582.5</v>
      </c>
      <c r="D45" s="11">
        <f>'P &amp; L'!E53</f>
        <v>188790</v>
      </c>
      <c r="E45" s="11">
        <f>'P &amp; L'!F53</f>
        <v>198927</v>
      </c>
      <c r="F45" s="11">
        <f>'P &amp; L'!G53</f>
        <v>205624.92</v>
      </c>
      <c r="G45" s="11">
        <f>'P &amp; L'!H53</f>
        <v>214830</v>
      </c>
      <c r="H45" s="11">
        <f>'P &amp; L'!I53</f>
        <v>220642.5</v>
      </c>
      <c r="I45" s="11">
        <f>'P &amp; L'!J53</f>
        <v>226176</v>
      </c>
      <c r="J45" s="11">
        <f>'P &amp; L'!K53</f>
        <v>231430.86</v>
      </c>
      <c r="K45" s="11">
        <f>'P &amp; L'!L53</f>
        <v>236406.03</v>
      </c>
      <c r="L45" s="11">
        <f>'P &amp; L'!M53</f>
        <v>246775.5</v>
      </c>
      <c r="M45" s="11">
        <f>'P &amp; L'!N53</f>
        <v>265050</v>
      </c>
      <c r="N45" s="11">
        <f>'P &amp; L'!O53</f>
        <v>296298</v>
      </c>
    </row>
    <row r="46" spans="2:14" x14ac:dyDescent="0.25">
      <c r="B46" s="18" t="s">
        <v>63</v>
      </c>
      <c r="C46" s="19">
        <f>C45/C44</f>
        <v>0.62876073287810152</v>
      </c>
      <c r="D46" s="19">
        <f t="shared" ref="D46:N46" si="8">D45/D44</f>
        <v>0.62876073287810152</v>
      </c>
      <c r="E46" s="19">
        <f t="shared" si="8"/>
        <v>0.62876073287810152</v>
      </c>
      <c r="F46" s="19">
        <f t="shared" si="8"/>
        <v>0.62876691308125732</v>
      </c>
      <c r="G46" s="19">
        <f t="shared" si="8"/>
        <v>0.62876073287810164</v>
      </c>
      <c r="H46" s="19">
        <f t="shared" si="8"/>
        <v>0.62876073287810164</v>
      </c>
      <c r="I46" s="19">
        <f t="shared" si="8"/>
        <v>0.62876073287810152</v>
      </c>
      <c r="J46" s="19">
        <f t="shared" si="8"/>
        <v>0.62876070102764381</v>
      </c>
      <c r="K46" s="19">
        <f t="shared" si="8"/>
        <v>0.62876076249926027</v>
      </c>
      <c r="L46" s="19">
        <f t="shared" si="8"/>
        <v>0.62876073287810141</v>
      </c>
      <c r="M46" s="19">
        <f t="shared" si="8"/>
        <v>0.62876073287810152</v>
      </c>
      <c r="N46" s="19">
        <f t="shared" si="8"/>
        <v>0.62875888199110341</v>
      </c>
    </row>
    <row r="47" spans="2:14" x14ac:dyDescent="0.25">
      <c r="B47" s="5" t="str">
        <f>'P &amp; L'!C70</f>
        <v>mão de obra direta</v>
      </c>
      <c r="C47" s="11">
        <f>'P &amp; L'!D70</f>
        <v>56427.25</v>
      </c>
      <c r="D47" s="11">
        <f>'P &amp; L'!E70</f>
        <v>58666.999999999993</v>
      </c>
      <c r="E47" s="11">
        <f>'P &amp; L'!F70</f>
        <v>61817.099999999991</v>
      </c>
      <c r="F47" s="11">
        <f>'P &amp; L'!G70</f>
        <v>63897.9</v>
      </c>
      <c r="G47" s="11">
        <f>'P &amp; L'!H70</f>
        <v>66759</v>
      </c>
      <c r="H47" s="11">
        <f>'P &amp; L'!I70</f>
        <v>68565.25</v>
      </c>
      <c r="I47" s="11">
        <f>'P &amp; L'!J70</f>
        <v>70284.799999999988</v>
      </c>
      <c r="J47" s="11">
        <f>'P &amp; L'!K70</f>
        <v>71917.649999999994</v>
      </c>
      <c r="K47" s="11">
        <f>'P &amp; L'!L70</f>
        <v>73463.8</v>
      </c>
      <c r="L47" s="11">
        <f>'P &amp; L'!M70</f>
        <v>76686.149999999994</v>
      </c>
      <c r="M47" s="11">
        <f>'P &amp; L'!N70</f>
        <v>82365</v>
      </c>
      <c r="N47" s="11">
        <f>'P &amp; L'!O70</f>
        <v>92075.4</v>
      </c>
    </row>
    <row r="48" spans="2:14" x14ac:dyDescent="0.25">
      <c r="B48" s="18" t="s">
        <v>64</v>
      </c>
      <c r="C48" s="19">
        <f>C47/C44</f>
        <v>0.1953890879588939</v>
      </c>
      <c r="D48" s="19">
        <f t="shared" ref="D48:N48" si="9">D47/D44</f>
        <v>0.1953890879588939</v>
      </c>
      <c r="E48" s="19">
        <f t="shared" si="9"/>
        <v>0.1953890879588939</v>
      </c>
      <c r="F48" s="19">
        <f t="shared" si="9"/>
        <v>0.19538918403165761</v>
      </c>
      <c r="G48" s="19">
        <f t="shared" si="9"/>
        <v>0.19538908795889393</v>
      </c>
      <c r="H48" s="19">
        <f t="shared" si="9"/>
        <v>0.19538908795889393</v>
      </c>
      <c r="I48" s="19">
        <f t="shared" si="9"/>
        <v>0.1953890879588939</v>
      </c>
      <c r="J48" s="19">
        <f t="shared" si="9"/>
        <v>0.19538877412571826</v>
      </c>
      <c r="K48" s="19">
        <f t="shared" si="9"/>
        <v>0.1953890723688104</v>
      </c>
      <c r="L48" s="19">
        <f t="shared" si="9"/>
        <v>0.19538908795889387</v>
      </c>
      <c r="M48" s="19">
        <f t="shared" si="9"/>
        <v>0.19538908795889393</v>
      </c>
      <c r="N48" s="19">
        <f t="shared" si="9"/>
        <v>0.19538851279078376</v>
      </c>
    </row>
    <row r="49" spans="2:14" x14ac:dyDescent="0.25">
      <c r="B49" s="5" t="str">
        <f>'P &amp; L'!C87</f>
        <v>custos indiretos</v>
      </c>
      <c r="C49" s="11">
        <f>'P &amp; L'!D87</f>
        <v>50784.524999999994</v>
      </c>
      <c r="D49" s="11">
        <f>'P &amp; L'!E87</f>
        <v>52800.299999999996</v>
      </c>
      <c r="E49" s="11">
        <f>'P &amp; L'!F87</f>
        <v>55635.389999999985</v>
      </c>
      <c r="F49" s="11">
        <f>'P &amp; L'!G87</f>
        <v>57506.029200000004</v>
      </c>
      <c r="G49" s="11">
        <f>'P &amp; L'!H87</f>
        <v>60083.1</v>
      </c>
      <c r="H49" s="11">
        <f>'P &amp; L'!I87</f>
        <v>61708.724999999999</v>
      </c>
      <c r="I49" s="11">
        <f>'P &amp; L'!J87</f>
        <v>63256.319999999992</v>
      </c>
      <c r="J49" s="11">
        <f>'P &amp; L'!K87</f>
        <v>64726.116200000004</v>
      </c>
      <c r="K49" s="11">
        <f>'P &amp; L'!L87</f>
        <v>66117.42</v>
      </c>
      <c r="L49" s="11">
        <f>'P &amp; L'!M87</f>
        <v>69017.534999999989</v>
      </c>
      <c r="M49" s="11">
        <f>'P &amp; L'!N87</f>
        <v>74128.5</v>
      </c>
      <c r="N49" s="11">
        <f>'P &amp; L'!O87</f>
        <v>82869.247200000013</v>
      </c>
    </row>
    <row r="50" spans="2:14" x14ac:dyDescent="0.25">
      <c r="B50" s="18" t="s">
        <v>65</v>
      </c>
      <c r="C50" s="19">
        <f>C49/C44</f>
        <v>0.17585017916300449</v>
      </c>
      <c r="D50" s="19">
        <f t="shared" ref="D50:N50" si="10">D49/D44</f>
        <v>0.17585017916300452</v>
      </c>
      <c r="E50" s="19">
        <f t="shared" si="10"/>
        <v>0.17585017916300449</v>
      </c>
      <c r="F50" s="19">
        <f t="shared" si="10"/>
        <v>0.17584390288708512</v>
      </c>
      <c r="G50" s="19">
        <f t="shared" si="10"/>
        <v>0.17585017916300455</v>
      </c>
      <c r="H50" s="19">
        <f t="shared" si="10"/>
        <v>0.17585017916300455</v>
      </c>
      <c r="I50" s="19">
        <f t="shared" si="10"/>
        <v>0.17585017916300452</v>
      </c>
      <c r="J50" s="19">
        <f t="shared" si="10"/>
        <v>0.17585052484663774</v>
      </c>
      <c r="K50" s="19">
        <f t="shared" si="10"/>
        <v>0.17585016513192933</v>
      </c>
      <c r="L50" s="19">
        <f t="shared" si="10"/>
        <v>0.17585017916300447</v>
      </c>
      <c r="M50" s="19">
        <f t="shared" si="10"/>
        <v>0.17585017916300452</v>
      </c>
      <c r="N50" s="19">
        <f t="shared" si="10"/>
        <v>0.1758526052181128</v>
      </c>
    </row>
    <row r="69" spans="2:14" x14ac:dyDescent="0.25">
      <c r="C69" s="17"/>
      <c r="D69" s="17"/>
      <c r="E69" s="17"/>
      <c r="F69" s="17"/>
      <c r="G69" s="17"/>
      <c r="H69" s="17"/>
      <c r="I69" s="17"/>
      <c r="J69" s="17"/>
      <c r="K69" s="17"/>
      <c r="L69" s="17"/>
      <c r="M69" s="17"/>
      <c r="N69" s="17"/>
    </row>
    <row r="70" spans="2:14" x14ac:dyDescent="0.25">
      <c r="C70" s="15"/>
      <c r="D70" s="15"/>
      <c r="E70" s="15"/>
      <c r="F70" s="15"/>
      <c r="G70" s="15"/>
      <c r="H70" s="15"/>
      <c r="I70" s="15"/>
      <c r="J70" s="15"/>
      <c r="K70" s="15"/>
      <c r="L70" s="15"/>
      <c r="M70" s="15"/>
      <c r="N70" s="15"/>
    </row>
    <row r="72" spans="2:14" x14ac:dyDescent="0.25">
      <c r="B72" s="23" t="str">
        <f>'P &amp; L'!C104</f>
        <v>Lucro Bruto</v>
      </c>
      <c r="C72" s="10">
        <f>'P &amp; L'!D104</f>
        <v>261205.72499999998</v>
      </c>
      <c r="D72" s="10">
        <f>'P &amp; L'!E104</f>
        <v>279742.7</v>
      </c>
      <c r="E72" s="10">
        <f>'P &amp; L'!F104</f>
        <v>303620.51</v>
      </c>
      <c r="F72" s="10">
        <f>'P &amp; L'!G104</f>
        <v>332971.1508</v>
      </c>
      <c r="G72" s="10">
        <f>'P &amp; L'!H104</f>
        <v>358327.9</v>
      </c>
      <c r="H72" s="10">
        <f>'P &amp; L'!I104</f>
        <v>379083.52500000002</v>
      </c>
      <c r="I72" s="10">
        <f>'P &amp; L'!J104</f>
        <v>400282.88</v>
      </c>
      <c r="J72" s="10">
        <f>'P &amp; L'!K104</f>
        <v>421925.37379999994</v>
      </c>
      <c r="K72" s="10">
        <f>'P &amp; L'!L104</f>
        <v>444012.75</v>
      </c>
      <c r="L72" s="10">
        <f>'P &amp; L'!M104</f>
        <v>477520.81499999994</v>
      </c>
      <c r="M72" s="10">
        <f>'P &amp; L'!N104</f>
        <v>528456.5</v>
      </c>
      <c r="N72" s="10">
        <f>'P &amp; L'!O104</f>
        <v>608757.35279999999</v>
      </c>
    </row>
    <row r="73" spans="2:14" x14ac:dyDescent="0.25">
      <c r="B73" s="24" t="str">
        <f>'P &amp; L'!C107</f>
        <v>Conjunto 1 Quarto</v>
      </c>
      <c r="C73" s="25">
        <f>'P &amp; L'!D107</f>
        <v>78361.717499999999</v>
      </c>
      <c r="D73" s="25">
        <f>'P &amp; L'!E107</f>
        <v>83922.81</v>
      </c>
      <c r="E73" s="25">
        <f>'P &amp; L'!F107</f>
        <v>91086.15300000002</v>
      </c>
      <c r="F73" s="25">
        <f>'P &amp; L'!G107</f>
        <v>99891.296999999991</v>
      </c>
      <c r="G73" s="25">
        <f>'P &amp; L'!H107</f>
        <v>107498.37000000001</v>
      </c>
      <c r="H73" s="25">
        <f>'P &amp; L'!I107</f>
        <v>113725.05750000001</v>
      </c>
      <c r="I73" s="25">
        <f>'P &amp; L'!J107</f>
        <v>120084.864</v>
      </c>
      <c r="J73" s="25">
        <f>'P &amp; L'!K107</f>
        <v>126577.7763</v>
      </c>
      <c r="K73" s="25">
        <f>'P &amp; L'!L107</f>
        <v>133203.804</v>
      </c>
      <c r="L73" s="25">
        <f>'P &amp; L'!M107</f>
        <v>143256.2445</v>
      </c>
      <c r="M73" s="25">
        <f>'P &amp; L'!N107</f>
        <v>158536.95000000001</v>
      </c>
      <c r="N73" s="25">
        <f>'P &amp; L'!O107</f>
        <v>182627.622</v>
      </c>
    </row>
    <row r="74" spans="2:14" x14ac:dyDescent="0.25">
      <c r="B74" s="18" t="s">
        <v>66</v>
      </c>
      <c r="C74" s="19">
        <f>C73/C72</f>
        <v>0.30000000000000004</v>
      </c>
      <c r="D74" s="19">
        <f t="shared" ref="D74:N74" si="11">D73/D72</f>
        <v>0.3</v>
      </c>
      <c r="E74" s="19">
        <f t="shared" si="11"/>
        <v>0.30000000000000004</v>
      </c>
      <c r="F74" s="19">
        <f t="shared" si="11"/>
        <v>0.29999985512258376</v>
      </c>
      <c r="G74" s="19">
        <f t="shared" si="11"/>
        <v>0.3</v>
      </c>
      <c r="H74" s="19">
        <f t="shared" si="11"/>
        <v>0.3</v>
      </c>
      <c r="I74" s="19">
        <f t="shared" si="11"/>
        <v>0.3</v>
      </c>
      <c r="J74" s="19">
        <f t="shared" si="11"/>
        <v>0.30000038907354287</v>
      </c>
      <c r="K74" s="19">
        <f t="shared" si="11"/>
        <v>0.29999995270406088</v>
      </c>
      <c r="L74" s="19">
        <f t="shared" si="11"/>
        <v>0.30000000000000004</v>
      </c>
      <c r="M74" s="19">
        <f t="shared" si="11"/>
        <v>0.30000000000000004</v>
      </c>
      <c r="N74" s="19">
        <f t="shared" si="11"/>
        <v>0.300000683622133</v>
      </c>
    </row>
    <row r="75" spans="2:14" x14ac:dyDescent="0.25">
      <c r="B75" s="24" t="str">
        <f>'P &amp; L'!C108</f>
        <v>Conjunto 2 Cozinha</v>
      </c>
      <c r="C75" s="25">
        <f>'P &amp; L'!D108</f>
        <v>65301.431249999994</v>
      </c>
      <c r="D75" s="25">
        <f>'P &amp; L'!E108</f>
        <v>69935.675000000003</v>
      </c>
      <c r="E75" s="25">
        <f>'P &amp; L'!F108</f>
        <v>75905.127500000002</v>
      </c>
      <c r="F75" s="25">
        <f>'P &amp; L'!G108</f>
        <v>83242.747499999998</v>
      </c>
      <c r="G75" s="25">
        <f>'P &amp; L'!H108</f>
        <v>89581.975000000006</v>
      </c>
      <c r="H75" s="25">
        <f>'P &amp; L'!I108</f>
        <v>94770.881250000006</v>
      </c>
      <c r="I75" s="25">
        <f>'P &amp; L'!J108</f>
        <v>100070.72</v>
      </c>
      <c r="J75" s="25">
        <f>'P &amp; L'!K108</f>
        <v>105481.05775000001</v>
      </c>
      <c r="K75" s="25">
        <f>'P &amp; L'!L108</f>
        <v>111003.19500000001</v>
      </c>
      <c r="L75" s="25">
        <f>'P &amp; L'!M108</f>
        <v>119380.20375</v>
      </c>
      <c r="M75" s="25">
        <f>'P &amp; L'!N108</f>
        <v>132114.125</v>
      </c>
      <c r="N75" s="25">
        <f>'P &amp; L'!O108</f>
        <v>152189.685</v>
      </c>
    </row>
    <row r="76" spans="2:14" x14ac:dyDescent="0.25">
      <c r="B76" s="18" t="s">
        <v>67</v>
      </c>
      <c r="C76" s="19">
        <f>C75/C72</f>
        <v>0.25</v>
      </c>
      <c r="D76" s="19">
        <f t="shared" ref="D76:N76" si="12">D75/D72</f>
        <v>0.25</v>
      </c>
      <c r="E76" s="19">
        <f t="shared" si="12"/>
        <v>0.25</v>
      </c>
      <c r="F76" s="19">
        <f t="shared" si="12"/>
        <v>0.24999987926881981</v>
      </c>
      <c r="G76" s="19">
        <f t="shared" si="12"/>
        <v>0.25</v>
      </c>
      <c r="H76" s="19">
        <f t="shared" si="12"/>
        <v>0.25</v>
      </c>
      <c r="I76" s="19">
        <f t="shared" si="12"/>
        <v>0.25</v>
      </c>
      <c r="J76" s="19">
        <f t="shared" si="12"/>
        <v>0.24999932286603813</v>
      </c>
      <c r="K76" s="19">
        <f t="shared" si="12"/>
        <v>0.25000001689140683</v>
      </c>
      <c r="L76" s="19">
        <f t="shared" si="12"/>
        <v>0.25000000000000006</v>
      </c>
      <c r="M76" s="19">
        <f t="shared" si="12"/>
        <v>0.25</v>
      </c>
      <c r="N76" s="19">
        <f t="shared" si="12"/>
        <v>0.25000056968511081</v>
      </c>
    </row>
    <row r="77" spans="2:14" x14ac:dyDescent="0.25">
      <c r="B77" s="24" t="str">
        <f>'P &amp; L'!C109</f>
        <v>Conjunto 3 Sala</v>
      </c>
      <c r="C77" s="25">
        <f>'P &amp; L'!D109</f>
        <v>65301.431249999994</v>
      </c>
      <c r="D77" s="25">
        <f>'P &amp; L'!E109</f>
        <v>69935.675000000003</v>
      </c>
      <c r="E77" s="25">
        <f>'P &amp; L'!F109</f>
        <v>75905.127500000002</v>
      </c>
      <c r="F77" s="25">
        <f>'P &amp; L'!G109</f>
        <v>83242.747499999998</v>
      </c>
      <c r="G77" s="25">
        <f>'P &amp; L'!H109</f>
        <v>89581.975000000006</v>
      </c>
      <c r="H77" s="25">
        <f>'P &amp; L'!I109</f>
        <v>94770.881250000006</v>
      </c>
      <c r="I77" s="25">
        <f>'P &amp; L'!J109</f>
        <v>100070.72</v>
      </c>
      <c r="J77" s="25">
        <f>'P &amp; L'!K109</f>
        <v>105481.05775000001</v>
      </c>
      <c r="K77" s="25">
        <f>'P &amp; L'!L109</f>
        <v>111003.19500000001</v>
      </c>
      <c r="L77" s="25">
        <f>'P &amp; L'!M109</f>
        <v>119380.20375</v>
      </c>
      <c r="M77" s="25">
        <f>'P &amp; L'!N109</f>
        <v>132114.125</v>
      </c>
      <c r="N77" s="25">
        <f>'P &amp; L'!O109</f>
        <v>152189.685</v>
      </c>
    </row>
    <row r="78" spans="2:14" x14ac:dyDescent="0.25">
      <c r="B78" s="4" t="s">
        <v>68</v>
      </c>
      <c r="C78" s="19">
        <f>C77/C72</f>
        <v>0.25</v>
      </c>
      <c r="D78" s="19">
        <f t="shared" ref="D78:N78" si="13">D77/D72</f>
        <v>0.25</v>
      </c>
      <c r="E78" s="19">
        <f t="shared" si="13"/>
        <v>0.25</v>
      </c>
      <c r="F78" s="19">
        <f t="shared" si="13"/>
        <v>0.24999987926881981</v>
      </c>
      <c r="G78" s="19">
        <f t="shared" si="13"/>
        <v>0.25</v>
      </c>
      <c r="H78" s="19">
        <f t="shared" si="13"/>
        <v>0.25</v>
      </c>
      <c r="I78" s="19">
        <f t="shared" si="13"/>
        <v>0.25</v>
      </c>
      <c r="J78" s="19">
        <f t="shared" si="13"/>
        <v>0.24999932286603813</v>
      </c>
      <c r="K78" s="19">
        <f t="shared" si="13"/>
        <v>0.25000001689140683</v>
      </c>
      <c r="L78" s="19">
        <f t="shared" si="13"/>
        <v>0.25000000000000006</v>
      </c>
      <c r="M78" s="19">
        <f t="shared" si="13"/>
        <v>0.25</v>
      </c>
      <c r="N78" s="19">
        <f t="shared" si="13"/>
        <v>0.25000056968511081</v>
      </c>
    </row>
    <row r="79" spans="2:14" x14ac:dyDescent="0.25">
      <c r="B79" s="24" t="str">
        <f>'P &amp; L'!C110</f>
        <v>Conjunto 4 Escritório</v>
      </c>
      <c r="C79" s="25">
        <f>'P &amp; L'!D110</f>
        <v>26120.572500000002</v>
      </c>
      <c r="D79" s="25">
        <f>'P &amp; L'!E110</f>
        <v>27974.27</v>
      </c>
      <c r="E79" s="25">
        <f>'P &amp; L'!F110</f>
        <v>30362.051000000003</v>
      </c>
      <c r="F79" s="25">
        <f>'P &amp; L'!G110</f>
        <v>33297.179399999994</v>
      </c>
      <c r="G79" s="25">
        <f>'P &amp; L'!H110</f>
        <v>35832.789999999994</v>
      </c>
      <c r="H79" s="25">
        <f>'P &amp; L'!I110</f>
        <v>37908.352500000001</v>
      </c>
      <c r="I79" s="25">
        <f>'P &amp; L'!J110</f>
        <v>40028.288</v>
      </c>
      <c r="J79" s="25">
        <f>'P &amp; L'!K110</f>
        <v>42192.741000000002</v>
      </c>
      <c r="K79" s="25">
        <f>'P &amp; L'!L110</f>
        <v>44401.277999999998</v>
      </c>
      <c r="L79" s="25">
        <f>'P &amp; L'!M110</f>
        <v>47752.0815</v>
      </c>
      <c r="M79" s="25">
        <f>'P &amp; L'!N110</f>
        <v>52845.649999999994</v>
      </c>
      <c r="N79" s="25">
        <f>'P &amp; L'!O110</f>
        <v>60875.180399999997</v>
      </c>
    </row>
    <row r="80" spans="2:14" x14ac:dyDescent="0.25">
      <c r="B80" s="4" t="s">
        <v>69</v>
      </c>
      <c r="C80" s="19">
        <f>C79/C72</f>
        <v>0.10000000000000002</v>
      </c>
      <c r="D80" s="19">
        <f t="shared" ref="D80:N80" si="14">D79/D72</f>
        <v>9.9999999999999992E-2</v>
      </c>
      <c r="E80" s="19">
        <f t="shared" si="14"/>
        <v>0.1</v>
      </c>
      <c r="F80" s="19">
        <f t="shared" si="14"/>
        <v>0.10000019316988826</v>
      </c>
      <c r="G80" s="19">
        <f t="shared" si="14"/>
        <v>9.9999999999999978E-2</v>
      </c>
      <c r="H80" s="19">
        <f t="shared" si="14"/>
        <v>9.9999999999999992E-2</v>
      </c>
      <c r="I80" s="19">
        <f t="shared" si="14"/>
        <v>0.1</v>
      </c>
      <c r="J80" s="19">
        <f t="shared" si="14"/>
        <v>0.10000048259719052</v>
      </c>
      <c r="K80" s="19">
        <f t="shared" si="14"/>
        <v>0.10000000675656273</v>
      </c>
      <c r="L80" s="19">
        <f t="shared" si="14"/>
        <v>0.1</v>
      </c>
      <c r="M80" s="19">
        <f t="shared" si="14"/>
        <v>9.9999999999999992E-2</v>
      </c>
      <c r="N80" s="19">
        <f t="shared" si="14"/>
        <v>9.9999088503822664E-2</v>
      </c>
    </row>
    <row r="81" spans="2:14" x14ac:dyDescent="0.25">
      <c r="B81" s="24" t="str">
        <f>'P &amp; L'!C111</f>
        <v>Conjunto 5 Banheiro</v>
      </c>
      <c r="C81" s="25">
        <f>'P &amp; L'!D111</f>
        <v>26120.572500000002</v>
      </c>
      <c r="D81" s="25">
        <f>'P &amp; L'!E111</f>
        <v>27974.27</v>
      </c>
      <c r="E81" s="25">
        <f>'P &amp; L'!F111</f>
        <v>30362.051000000003</v>
      </c>
      <c r="F81" s="25">
        <f>'P &amp; L'!G111</f>
        <v>33297.179399999994</v>
      </c>
      <c r="G81" s="25">
        <f>'P &amp; L'!H111</f>
        <v>35832.789999999994</v>
      </c>
      <c r="H81" s="25">
        <f>'P &amp; L'!I111</f>
        <v>37908.352500000001</v>
      </c>
      <c r="I81" s="25">
        <f>'P &amp; L'!J111</f>
        <v>40028.288</v>
      </c>
      <c r="J81" s="25">
        <f>'P &amp; L'!K111</f>
        <v>42192.741000000002</v>
      </c>
      <c r="K81" s="25">
        <f>'P &amp; L'!L111</f>
        <v>44401.277999999998</v>
      </c>
      <c r="L81" s="25">
        <f>'P &amp; L'!M111</f>
        <v>47752.0815</v>
      </c>
      <c r="M81" s="25">
        <f>'P &amp; L'!N111</f>
        <v>52845.649999999994</v>
      </c>
      <c r="N81" s="25">
        <f>'P &amp; L'!O111</f>
        <v>60875.180399999997</v>
      </c>
    </row>
    <row r="82" spans="2:14" x14ac:dyDescent="0.25">
      <c r="B82" s="4" t="s">
        <v>70</v>
      </c>
      <c r="C82" s="19">
        <f>C81/C72</f>
        <v>0.10000000000000002</v>
      </c>
      <c r="D82" s="19">
        <f t="shared" ref="D82:N82" si="15">D81/D72</f>
        <v>9.9999999999999992E-2</v>
      </c>
      <c r="E82" s="19">
        <f t="shared" si="15"/>
        <v>0.1</v>
      </c>
      <c r="F82" s="19">
        <f t="shared" si="15"/>
        <v>0.10000019316988826</v>
      </c>
      <c r="G82" s="19">
        <f t="shared" si="15"/>
        <v>9.9999999999999978E-2</v>
      </c>
      <c r="H82" s="19">
        <f t="shared" si="15"/>
        <v>9.9999999999999992E-2</v>
      </c>
      <c r="I82" s="19">
        <f t="shared" si="15"/>
        <v>0.1</v>
      </c>
      <c r="J82" s="19">
        <f t="shared" si="15"/>
        <v>0.10000048259719052</v>
      </c>
      <c r="K82" s="19">
        <f t="shared" si="15"/>
        <v>0.10000000675656273</v>
      </c>
      <c r="L82" s="19">
        <f t="shared" si="15"/>
        <v>0.1</v>
      </c>
      <c r="M82" s="19">
        <f t="shared" si="15"/>
        <v>9.9999999999999992E-2</v>
      </c>
      <c r="N82" s="19">
        <f t="shared" si="15"/>
        <v>9.9999088503822664E-2</v>
      </c>
    </row>
    <row r="99" spans="2:14" x14ac:dyDescent="0.25">
      <c r="B99" s="75"/>
      <c r="C99" s="75"/>
      <c r="D99" s="75"/>
      <c r="E99" s="75"/>
      <c r="F99" s="75"/>
      <c r="G99" s="75"/>
      <c r="H99" s="75"/>
      <c r="I99" s="75"/>
      <c r="J99" s="75"/>
      <c r="K99" s="75"/>
      <c r="L99" s="75"/>
      <c r="M99" s="75"/>
      <c r="N99" s="75"/>
    </row>
    <row r="100" spans="2:14" x14ac:dyDescent="0.25">
      <c r="B100" s="47"/>
      <c r="C100" s="47"/>
      <c r="D100" s="47"/>
      <c r="E100" s="47"/>
      <c r="F100" s="47"/>
      <c r="G100" s="47"/>
      <c r="H100" s="47"/>
      <c r="I100" s="47"/>
      <c r="J100" s="47"/>
      <c r="K100" s="47"/>
      <c r="L100" s="47"/>
      <c r="M100" s="47"/>
      <c r="N100" s="47"/>
    </row>
    <row r="101" spans="2:14" x14ac:dyDescent="0.25">
      <c r="B101" s="68"/>
      <c r="C101" s="69"/>
      <c r="D101" s="69"/>
      <c r="E101" s="69"/>
      <c r="F101" s="69"/>
      <c r="G101" s="69"/>
      <c r="H101" s="69"/>
      <c r="I101" s="69"/>
      <c r="J101" s="69"/>
      <c r="K101" s="69"/>
      <c r="L101" s="69"/>
      <c r="M101" s="69"/>
      <c r="N101" s="69"/>
    </row>
    <row r="102" spans="2:14" x14ac:dyDescent="0.25">
      <c r="B102" s="68"/>
      <c r="C102" s="68"/>
      <c r="D102" s="68"/>
      <c r="E102" s="68"/>
      <c r="F102" s="68"/>
      <c r="G102" s="68"/>
      <c r="H102" s="68"/>
      <c r="I102" s="68"/>
      <c r="J102" s="68"/>
      <c r="K102" s="68"/>
      <c r="L102" s="68"/>
      <c r="M102" s="68"/>
      <c r="N102" s="68"/>
    </row>
    <row r="103" spans="2:14" x14ac:dyDescent="0.25">
      <c r="B103" s="68"/>
      <c r="C103" s="70"/>
      <c r="D103" s="70"/>
      <c r="E103" s="70"/>
      <c r="F103" s="70"/>
      <c r="G103" s="70"/>
      <c r="H103" s="70"/>
      <c r="I103" s="70"/>
      <c r="J103" s="70"/>
      <c r="K103" s="70"/>
      <c r="L103" s="70"/>
      <c r="M103" s="70"/>
      <c r="N103" s="70"/>
    </row>
    <row r="104" spans="2:14" x14ac:dyDescent="0.25">
      <c r="B104" s="48"/>
      <c r="C104" s="71"/>
      <c r="D104" s="71"/>
      <c r="E104" s="71"/>
      <c r="F104" s="71"/>
      <c r="G104" s="71"/>
      <c r="H104" s="71"/>
      <c r="I104" s="71"/>
      <c r="J104" s="71"/>
      <c r="K104" s="71"/>
      <c r="L104" s="71"/>
      <c r="M104" s="71"/>
      <c r="N104" s="71"/>
    </row>
    <row r="105" spans="2:14" s="43" customFormat="1" x14ac:dyDescent="0.25">
      <c r="B105" s="50"/>
      <c r="C105" s="62"/>
      <c r="D105" s="62"/>
      <c r="E105" s="62"/>
      <c r="F105" s="62"/>
      <c r="G105" s="62"/>
      <c r="H105" s="62"/>
      <c r="I105" s="62"/>
      <c r="J105" s="62"/>
      <c r="K105" s="62"/>
      <c r="L105" s="62"/>
      <c r="M105" s="62"/>
      <c r="N105" s="62"/>
    </row>
    <row r="106" spans="2:14" x14ac:dyDescent="0.25">
      <c r="B106" s="4"/>
      <c r="C106" s="61"/>
      <c r="D106" s="61"/>
      <c r="E106" s="61"/>
      <c r="F106" s="61"/>
      <c r="G106" s="61"/>
      <c r="H106" s="61"/>
      <c r="I106" s="61"/>
      <c r="J106" s="61"/>
      <c r="K106" s="61"/>
      <c r="L106" s="61"/>
      <c r="M106" s="61"/>
      <c r="N106" s="61"/>
    </row>
    <row r="107" spans="2:14" x14ac:dyDescent="0.25">
      <c r="B107" s="4"/>
      <c r="C107" s="61"/>
      <c r="D107" s="61"/>
      <c r="E107" s="61"/>
      <c r="F107" s="61"/>
      <c r="G107" s="61"/>
      <c r="H107" s="61"/>
      <c r="I107" s="61"/>
      <c r="J107" s="61"/>
      <c r="K107" s="61"/>
      <c r="L107" s="61"/>
      <c r="M107" s="61"/>
      <c r="N107" s="61"/>
    </row>
    <row r="108" spans="2:14" x14ac:dyDescent="0.25">
      <c r="B108" s="48"/>
      <c r="C108" s="71"/>
      <c r="D108" s="71"/>
      <c r="E108" s="71"/>
      <c r="F108" s="71"/>
      <c r="G108" s="71"/>
      <c r="H108" s="71"/>
      <c r="I108" s="71"/>
      <c r="J108" s="71"/>
      <c r="K108" s="71"/>
      <c r="L108" s="71"/>
      <c r="M108" s="71"/>
      <c r="N108" s="71"/>
    </row>
    <row r="109" spans="2:14" s="43" customFormat="1" x14ac:dyDescent="0.25">
      <c r="B109" s="50"/>
      <c r="C109" s="62"/>
      <c r="D109" s="62"/>
      <c r="E109" s="62"/>
      <c r="F109" s="62"/>
      <c r="G109" s="62"/>
      <c r="H109" s="62"/>
      <c r="I109" s="62"/>
      <c r="J109" s="62"/>
      <c r="K109" s="62"/>
      <c r="L109" s="62"/>
      <c r="M109" s="62"/>
      <c r="N109" s="62"/>
    </row>
    <row r="110" spans="2:14" x14ac:dyDescent="0.25">
      <c r="B110" s="4"/>
      <c r="C110" s="52"/>
      <c r="D110" s="52"/>
      <c r="E110" s="52"/>
      <c r="F110" s="38"/>
      <c r="G110" s="52"/>
      <c r="H110" s="52"/>
      <c r="I110" s="52"/>
      <c r="J110" s="52"/>
      <c r="K110" s="52"/>
      <c r="L110" s="52"/>
      <c r="M110" s="52"/>
      <c r="N110" s="52"/>
    </row>
    <row r="111" spans="2:14" x14ac:dyDescent="0.25">
      <c r="B111" s="4"/>
      <c r="C111" s="61"/>
      <c r="D111" s="61"/>
      <c r="E111" s="61"/>
      <c r="F111" s="38"/>
      <c r="G111" s="61"/>
      <c r="H111" s="72"/>
      <c r="I111" s="61"/>
      <c r="J111" s="61"/>
      <c r="K111" s="61"/>
      <c r="L111" s="61"/>
      <c r="M111" s="61"/>
      <c r="N111" s="61"/>
    </row>
    <row r="112" spans="2:14" x14ac:dyDescent="0.25">
      <c r="B112" s="48"/>
      <c r="C112" s="73"/>
      <c r="D112" s="73"/>
      <c r="E112" s="73"/>
      <c r="F112" s="73"/>
      <c r="G112" s="73"/>
      <c r="H112" s="73"/>
      <c r="I112" s="73"/>
      <c r="J112" s="73"/>
      <c r="K112" s="73"/>
      <c r="L112" s="73"/>
      <c r="M112" s="73"/>
      <c r="N112" s="73"/>
    </row>
    <row r="113" spans="2:14" s="43" customFormat="1" x14ac:dyDescent="0.25">
      <c r="B113" s="50"/>
      <c r="C113" s="62"/>
      <c r="D113" s="62"/>
      <c r="E113" s="62"/>
      <c r="F113" s="62"/>
      <c r="G113" s="62"/>
      <c r="H113" s="62"/>
      <c r="I113" s="62"/>
      <c r="J113" s="62"/>
      <c r="K113" s="62"/>
      <c r="L113" s="62"/>
      <c r="M113" s="62"/>
      <c r="N113" s="62"/>
    </row>
    <row r="114" spans="2:14" x14ac:dyDescent="0.25">
      <c r="B114" s="4"/>
      <c r="C114" s="72"/>
      <c r="D114" s="72"/>
      <c r="E114" s="72"/>
      <c r="F114" s="72"/>
      <c r="G114" s="72"/>
      <c r="H114" s="72"/>
      <c r="I114" s="72"/>
      <c r="J114" s="72"/>
      <c r="K114" s="72"/>
      <c r="L114" s="72"/>
      <c r="M114" s="72"/>
      <c r="N114" s="72"/>
    </row>
    <row r="115" spans="2:14" x14ac:dyDescent="0.25">
      <c r="B115" s="4"/>
      <c r="C115" s="52"/>
      <c r="D115" s="52"/>
      <c r="E115" s="52"/>
      <c r="F115" s="52"/>
      <c r="G115" s="52"/>
      <c r="H115" s="52"/>
      <c r="I115" s="52"/>
      <c r="J115" s="52"/>
      <c r="K115" s="52"/>
      <c r="L115" s="52"/>
      <c r="M115" s="52"/>
      <c r="N115" s="52"/>
    </row>
    <row r="116" spans="2:14" s="42" customFormat="1" x14ac:dyDescent="0.25">
      <c r="B116" s="48"/>
      <c r="C116" s="73"/>
      <c r="D116" s="73"/>
      <c r="E116" s="73"/>
      <c r="F116" s="73"/>
      <c r="G116" s="73"/>
      <c r="H116" s="73"/>
      <c r="I116" s="73"/>
      <c r="J116" s="73"/>
      <c r="K116" s="73"/>
      <c r="L116" s="73"/>
      <c r="M116" s="73"/>
      <c r="N116" s="73"/>
    </row>
    <row r="117" spans="2:14" s="44" customFormat="1" ht="12.75" x14ac:dyDescent="0.2">
      <c r="B117" s="55"/>
      <c r="C117" s="62"/>
      <c r="D117" s="62"/>
      <c r="E117" s="62"/>
      <c r="F117" s="62"/>
      <c r="G117" s="62"/>
      <c r="H117" s="62"/>
      <c r="I117" s="62"/>
      <c r="J117" s="62"/>
      <c r="K117" s="62"/>
      <c r="L117" s="62"/>
      <c r="M117" s="62"/>
      <c r="N117" s="62"/>
    </row>
    <row r="118" spans="2:14" x14ac:dyDescent="0.25">
      <c r="B118" s="4"/>
      <c r="C118" s="72"/>
      <c r="D118" s="72"/>
      <c r="E118" s="72"/>
      <c r="F118" s="72"/>
      <c r="G118" s="72"/>
      <c r="H118" s="72"/>
      <c r="I118" s="72"/>
      <c r="J118" s="72"/>
      <c r="K118" s="72"/>
      <c r="L118" s="72"/>
      <c r="M118" s="72"/>
      <c r="N118" s="72"/>
    </row>
    <row r="119" spans="2:14" x14ac:dyDescent="0.25">
      <c r="B119" s="4"/>
      <c r="C119" s="72"/>
      <c r="D119" s="72"/>
      <c r="E119" s="72"/>
      <c r="F119" s="72"/>
      <c r="G119" s="72"/>
      <c r="H119" s="72"/>
      <c r="I119" s="72"/>
      <c r="J119" s="72"/>
      <c r="K119" s="72"/>
      <c r="L119" s="72"/>
      <c r="M119" s="72"/>
      <c r="N119" s="72"/>
    </row>
    <row r="120" spans="2:14" s="42" customFormat="1" x14ac:dyDescent="0.25">
      <c r="B120" s="48"/>
      <c r="C120" s="73"/>
      <c r="D120" s="73"/>
      <c r="E120" s="73"/>
      <c r="F120" s="73"/>
      <c r="G120" s="73"/>
      <c r="H120" s="73"/>
      <c r="I120" s="73"/>
      <c r="J120" s="73"/>
      <c r="K120" s="73"/>
      <c r="L120" s="73"/>
      <c r="M120" s="73"/>
      <c r="N120" s="73"/>
    </row>
    <row r="121" spans="2:14" s="45" customFormat="1" x14ac:dyDescent="0.25">
      <c r="B121" s="55"/>
    </row>
    <row r="122" spans="2:14" x14ac:dyDescent="0.25">
      <c r="B122" s="4"/>
      <c r="C122" s="52"/>
      <c r="D122" s="38"/>
      <c r="E122" s="38"/>
      <c r="F122" s="38"/>
      <c r="G122" s="38"/>
      <c r="H122" s="38"/>
      <c r="I122" s="38"/>
      <c r="J122" s="38"/>
      <c r="K122" s="38"/>
      <c r="L122" s="38"/>
      <c r="M122" s="38"/>
      <c r="N122" s="38"/>
    </row>
    <row r="123" spans="2:14" x14ac:dyDescent="0.25">
      <c r="B123" s="4"/>
      <c r="C123" s="52"/>
      <c r="D123" s="38"/>
      <c r="E123" s="38"/>
      <c r="F123" s="38"/>
      <c r="G123" s="38"/>
      <c r="H123" s="38"/>
      <c r="I123" s="38"/>
      <c r="J123" s="38"/>
      <c r="K123" s="38"/>
      <c r="L123" s="38"/>
      <c r="M123" s="38"/>
      <c r="N123" s="38"/>
    </row>
    <row r="124" spans="2:14" x14ac:dyDescent="0.25">
      <c r="B124" s="41"/>
      <c r="C124" s="74"/>
      <c r="D124" s="74"/>
      <c r="E124" s="74"/>
      <c r="F124" s="74"/>
      <c r="G124" s="74"/>
      <c r="H124" s="74"/>
      <c r="I124" s="74"/>
      <c r="J124" s="74"/>
      <c r="K124" s="74"/>
      <c r="L124" s="74"/>
      <c r="M124" s="74"/>
      <c r="N124" s="74"/>
    </row>
    <row r="125" spans="2:14" s="58" customFormat="1" x14ac:dyDescent="0.25">
      <c r="B125" s="59"/>
      <c r="C125" s="60"/>
      <c r="D125" s="60"/>
      <c r="E125" s="60"/>
      <c r="F125" s="60"/>
      <c r="G125" s="60"/>
      <c r="H125" s="60"/>
      <c r="I125" s="60"/>
      <c r="J125" s="60"/>
      <c r="K125" s="60"/>
      <c r="L125" s="60"/>
      <c r="M125" s="60"/>
      <c r="N125" s="60"/>
    </row>
    <row r="126" spans="2:14" x14ac:dyDescent="0.25">
      <c r="B126" s="57"/>
      <c r="C126" s="60"/>
      <c r="D126" s="47"/>
      <c r="E126" s="47"/>
      <c r="F126" s="47"/>
      <c r="G126" s="47"/>
      <c r="H126" s="47"/>
      <c r="I126" s="47"/>
      <c r="J126" s="47"/>
      <c r="K126" s="47"/>
      <c r="L126" s="47"/>
      <c r="M126" s="47"/>
      <c r="N126" s="47"/>
    </row>
  </sheetData>
  <phoneticPr fontId="4" type="noConversion"/>
  <pageMargins left="0.511811024" right="0.511811024" top="0.78740157499999996" bottom="0.78740157499999996" header="0.31496062000000002" footer="0.31496062000000002"/>
  <pageSetup paperSize="9" orientation="portrait" verticalDpi="30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C4:W117"/>
  <sheetViews>
    <sheetView topLeftCell="C118" workbookViewId="0">
      <selection activeCell="C119" sqref="C119"/>
    </sheetView>
  </sheetViews>
  <sheetFormatPr defaultRowHeight="15" x14ac:dyDescent="0.25"/>
  <cols>
    <col min="3" max="3" width="30.85546875" customWidth="1"/>
    <col min="4" max="4" width="19" customWidth="1"/>
    <col min="5" max="16" width="15.85546875" bestFit="1" customWidth="1"/>
    <col min="17" max="17" width="16.85546875" bestFit="1" customWidth="1"/>
    <col min="20" max="20" width="16.85546875" bestFit="1" customWidth="1"/>
    <col min="22" max="22" width="16.85546875" bestFit="1" customWidth="1"/>
  </cols>
  <sheetData>
    <row r="4" spans="3:23" ht="15.75" thickBot="1" x14ac:dyDescent="0.3"/>
    <row r="5" spans="3:23" ht="15.75" thickBot="1" x14ac:dyDescent="0.3">
      <c r="C5" s="3" t="str">
        <f>'P &amp; L'!C5:O5</f>
        <v>Descrição</v>
      </c>
      <c r="D5" s="9" t="str">
        <f>'P &amp; L'!D5</f>
        <v>jan</v>
      </c>
      <c r="E5" s="3" t="str">
        <f>'P &amp; L'!E5</f>
        <v>fev</v>
      </c>
      <c r="F5" s="3" t="str">
        <f>'P &amp; L'!F5</f>
        <v>mar</v>
      </c>
      <c r="G5" s="3" t="str">
        <f>'P &amp; L'!G5</f>
        <v>abr</v>
      </c>
      <c r="H5" s="3" t="str">
        <f>'P &amp; L'!H5</f>
        <v>mai</v>
      </c>
      <c r="I5" s="3" t="str">
        <f>'P &amp; L'!I5</f>
        <v>jun</v>
      </c>
      <c r="J5" s="3" t="str">
        <f>'P &amp; L'!J5</f>
        <v>jul</v>
      </c>
      <c r="K5" s="3" t="str">
        <f>'P &amp; L'!K5</f>
        <v>ago</v>
      </c>
      <c r="L5" s="3" t="str">
        <f>'P &amp; L'!L5</f>
        <v>set</v>
      </c>
      <c r="M5" s="3" t="str">
        <f>'P &amp; L'!M5</f>
        <v>out</v>
      </c>
      <c r="N5" s="3" t="str">
        <f>'P &amp; L'!N5</f>
        <v>nov</v>
      </c>
      <c r="O5" s="3" t="str">
        <f>'P &amp; L'!O5</f>
        <v>dez</v>
      </c>
      <c r="Q5" s="168" t="s">
        <v>71</v>
      </c>
      <c r="R5" s="169"/>
      <c r="S5" s="170"/>
      <c r="T5" s="168" t="s">
        <v>72</v>
      </c>
      <c r="U5" s="170"/>
      <c r="V5" s="168" t="s">
        <v>73</v>
      </c>
      <c r="W5" s="170"/>
    </row>
    <row r="7" spans="3:23" x14ac:dyDescent="0.25">
      <c r="C7" s="7" t="str">
        <f>'P &amp; L'!C7</f>
        <v>Receita Liquida</v>
      </c>
      <c r="D7" s="10">
        <f>'P &amp; L'!D7</f>
        <v>550000</v>
      </c>
      <c r="E7" s="10">
        <f>'P &amp; L'!E7</f>
        <v>580000</v>
      </c>
      <c r="F7" s="10">
        <f>'P &amp; L'!F7</f>
        <v>620000</v>
      </c>
      <c r="G7" s="10">
        <f>'P &amp; L'!G7</f>
        <v>660000</v>
      </c>
      <c r="H7" s="10">
        <f>'P &amp; L'!H7</f>
        <v>700000</v>
      </c>
      <c r="I7" s="10">
        <f>'P &amp; L'!I7</f>
        <v>730000</v>
      </c>
      <c r="J7" s="10">
        <f>'P &amp; L'!J7</f>
        <v>760000</v>
      </c>
      <c r="K7" s="10">
        <f>'P &amp; L'!K7</f>
        <v>790000</v>
      </c>
      <c r="L7" s="10">
        <f>'P &amp; L'!L7</f>
        <v>820000</v>
      </c>
      <c r="M7" s="10">
        <f>'P &amp; L'!M7</f>
        <v>870000</v>
      </c>
      <c r="N7" s="10">
        <f>'P &amp; L'!N7</f>
        <v>950000</v>
      </c>
      <c r="O7" s="10">
        <f>'P &amp; L'!O7</f>
        <v>1080000</v>
      </c>
      <c r="P7" s="4" t="s">
        <v>74</v>
      </c>
      <c r="Q7" s="15">
        <f>SUM(D7:O7)</f>
        <v>9110000</v>
      </c>
      <c r="T7" s="15">
        <f>Q7*T8</f>
        <v>10021000</v>
      </c>
      <c r="V7" s="15">
        <f>T7*V8</f>
        <v>10722470</v>
      </c>
    </row>
    <row r="8" spans="3:23" x14ac:dyDescent="0.25">
      <c r="P8" s="4"/>
      <c r="T8" s="58">
        <v>1.1000000000000001</v>
      </c>
      <c r="V8">
        <v>1.07</v>
      </c>
    </row>
    <row r="9" spans="3:23" x14ac:dyDescent="0.25">
      <c r="C9" s="7" t="str">
        <f>'P &amp; L'!C35</f>
        <v>Custo das Mercadorias vendidas</v>
      </c>
      <c r="D9" s="10">
        <f>'P &amp; L'!D35</f>
        <v>288794.27500000002</v>
      </c>
      <c r="E9" s="10">
        <f>'P &amp; L'!E35</f>
        <v>300257.3</v>
      </c>
      <c r="F9" s="10">
        <f>'P &amp; L'!F35</f>
        <v>316379.49</v>
      </c>
      <c r="G9" s="10">
        <f>'P &amp; L'!G35</f>
        <v>327028.8492</v>
      </c>
      <c r="H9" s="10">
        <f>'P &amp; L'!H35</f>
        <v>341672.1</v>
      </c>
      <c r="I9" s="10">
        <f>'P &amp; L'!I35</f>
        <v>350916.47499999998</v>
      </c>
      <c r="J9" s="10">
        <f>'P &amp; L'!J35</f>
        <v>359717.12</v>
      </c>
      <c r="K9" s="10">
        <f>'P &amp; L'!K35</f>
        <v>368074.62620000006</v>
      </c>
      <c r="L9" s="10">
        <f>'P &amp; L'!L35</f>
        <v>375987.25</v>
      </c>
      <c r="M9" s="10">
        <f>'P &amp; L'!M35</f>
        <v>392479.18500000006</v>
      </c>
      <c r="N9" s="10">
        <f>'P &amp; L'!N35</f>
        <v>421543.5</v>
      </c>
      <c r="O9" s="10">
        <f>'P &amp; L'!O35</f>
        <v>471242.64720000001</v>
      </c>
      <c r="P9" s="4" t="s">
        <v>75</v>
      </c>
      <c r="Q9" s="15">
        <f>SUM(D9:O9)</f>
        <v>4314092.8176000006</v>
      </c>
      <c r="R9" t="s">
        <v>76</v>
      </c>
      <c r="S9" s="16">
        <f>Q9/Q7</f>
        <v>0.47355574287596053</v>
      </c>
      <c r="T9" s="15">
        <f>Q9*T10</f>
        <v>4702361.1711840015</v>
      </c>
      <c r="U9" s="16">
        <f>T9/T7</f>
        <v>0.46925069066799735</v>
      </c>
      <c r="V9" s="15">
        <f>T9*V10</f>
        <v>4984502.8414550414</v>
      </c>
    </row>
    <row r="10" spans="3:23" x14ac:dyDescent="0.25">
      <c r="C10" s="4" t="s">
        <v>77</v>
      </c>
      <c r="D10" s="16">
        <f>D9/D7</f>
        <v>0.52508050000000006</v>
      </c>
      <c r="E10" s="16">
        <f t="shared" ref="E10:O10" si="0">E9/E7</f>
        <v>0.51768499999999995</v>
      </c>
      <c r="F10" s="16">
        <f t="shared" si="0"/>
        <v>0.51028949999999995</v>
      </c>
      <c r="G10" s="16">
        <f t="shared" si="0"/>
        <v>0.49549825636363637</v>
      </c>
      <c r="H10" s="16">
        <f t="shared" si="0"/>
        <v>0.48810299999999995</v>
      </c>
      <c r="I10" s="16">
        <f t="shared" si="0"/>
        <v>0.48070749999999995</v>
      </c>
      <c r="J10" s="16">
        <f t="shared" si="0"/>
        <v>0.47331200000000001</v>
      </c>
      <c r="K10" s="16">
        <f t="shared" si="0"/>
        <v>0.46591724835443044</v>
      </c>
      <c r="L10" s="16">
        <f t="shared" si="0"/>
        <v>0.45852103658536586</v>
      </c>
      <c r="M10" s="16">
        <f t="shared" si="0"/>
        <v>0.45112550000000007</v>
      </c>
      <c r="N10" s="16">
        <f t="shared" si="0"/>
        <v>0.44373000000000001</v>
      </c>
      <c r="O10" s="16">
        <f t="shared" si="0"/>
        <v>0.43633578444444443</v>
      </c>
      <c r="P10" s="4"/>
      <c r="T10">
        <v>1.0900000000000001</v>
      </c>
      <c r="V10">
        <v>1.06</v>
      </c>
    </row>
    <row r="11" spans="3:23" x14ac:dyDescent="0.25">
      <c r="C11" s="7" t="str">
        <f>'P &amp; L'!C104</f>
        <v>Lucro Bruto</v>
      </c>
      <c r="D11" s="10">
        <f>'P &amp; L'!D104</f>
        <v>261205.72499999998</v>
      </c>
      <c r="E11" s="10">
        <f>'P &amp; L'!E104</f>
        <v>279742.7</v>
      </c>
      <c r="F11" s="10">
        <f>'P &amp; L'!F104</f>
        <v>303620.51</v>
      </c>
      <c r="G11" s="10">
        <f>'P &amp; L'!G104</f>
        <v>332971.1508</v>
      </c>
      <c r="H11" s="10">
        <f>'P &amp; L'!H104</f>
        <v>358327.9</v>
      </c>
      <c r="I11" s="10">
        <f>'P &amp; L'!I104</f>
        <v>379083.52500000002</v>
      </c>
      <c r="J11" s="10">
        <f>'P &amp; L'!J104</f>
        <v>400282.88</v>
      </c>
      <c r="K11" s="10">
        <f>'P &amp; L'!K104</f>
        <v>421925.37379999994</v>
      </c>
      <c r="L11" s="10">
        <f>'P &amp; L'!L104</f>
        <v>444012.75</v>
      </c>
      <c r="M11" s="10">
        <f>'P &amp; L'!M104</f>
        <v>477520.81499999994</v>
      </c>
      <c r="N11" s="10">
        <f>'P &amp; L'!N104</f>
        <v>528456.5</v>
      </c>
      <c r="O11" s="10">
        <f>'P &amp; L'!O104</f>
        <v>608757.35279999999</v>
      </c>
      <c r="P11" s="4" t="s">
        <v>78</v>
      </c>
      <c r="Q11" s="15">
        <f>SUM(D11:O11)</f>
        <v>4795907.1823999994</v>
      </c>
      <c r="R11" t="s">
        <v>79</v>
      </c>
      <c r="S11" s="16">
        <f>Q11/Q7</f>
        <v>0.52644425712403942</v>
      </c>
      <c r="T11" s="15">
        <f>T7-T9</f>
        <v>5318638.8288159985</v>
      </c>
      <c r="U11" s="16">
        <f>T11/T7</f>
        <v>0.53074930933200259</v>
      </c>
      <c r="V11" s="15">
        <f>V7-V9</f>
        <v>5737967.1585449586</v>
      </c>
    </row>
    <row r="12" spans="3:23" x14ac:dyDescent="0.25">
      <c r="C12" s="4" t="s">
        <v>80</v>
      </c>
      <c r="D12" s="16">
        <f>D11/D7</f>
        <v>0.47491949999999994</v>
      </c>
      <c r="E12" s="16">
        <f t="shared" ref="E12:O12" si="1">E11/E7</f>
        <v>0.48231499999999999</v>
      </c>
      <c r="F12" s="16">
        <f t="shared" si="1"/>
        <v>0.48971049999999999</v>
      </c>
      <c r="G12" s="16">
        <f t="shared" si="1"/>
        <v>0.50450174363636369</v>
      </c>
      <c r="H12" s="16">
        <f t="shared" si="1"/>
        <v>0.51189700000000005</v>
      </c>
      <c r="I12" s="16">
        <f t="shared" si="1"/>
        <v>0.51929250000000005</v>
      </c>
      <c r="J12" s="16">
        <f t="shared" si="1"/>
        <v>0.52668800000000005</v>
      </c>
      <c r="K12" s="16">
        <f t="shared" si="1"/>
        <v>0.53408275164556951</v>
      </c>
      <c r="L12" s="16">
        <f t="shared" si="1"/>
        <v>0.5414789634146342</v>
      </c>
      <c r="M12" s="16">
        <f t="shared" si="1"/>
        <v>0.54887449999999993</v>
      </c>
      <c r="N12" s="16">
        <f t="shared" si="1"/>
        <v>0.55627000000000004</v>
      </c>
      <c r="O12" s="16">
        <f t="shared" si="1"/>
        <v>0.56366421555555557</v>
      </c>
      <c r="P12" s="4"/>
    </row>
    <row r="13" spans="3:23" x14ac:dyDescent="0.25">
      <c r="C13" s="7" t="str">
        <f>'P &amp; L'!C113</f>
        <v>Despesas Administrativas e Comerciais</v>
      </c>
      <c r="D13" s="10">
        <f>'P &amp; L'!D113</f>
        <v>165000</v>
      </c>
      <c r="E13" s="10">
        <f>'P &amp; L'!E113</f>
        <v>174000</v>
      </c>
      <c r="F13" s="10">
        <f>'P &amp; L'!F113</f>
        <v>186000</v>
      </c>
      <c r="G13" s="10">
        <f>'P &amp; L'!G113</f>
        <v>198000</v>
      </c>
      <c r="H13" s="10">
        <f>'P &amp; L'!H113</f>
        <v>210000</v>
      </c>
      <c r="I13" s="10">
        <f>'P &amp; L'!I113</f>
        <v>219000</v>
      </c>
      <c r="J13" s="10">
        <f>'P &amp; L'!J113</f>
        <v>228000</v>
      </c>
      <c r="K13" s="10">
        <f>'P &amp; L'!K113</f>
        <v>237000</v>
      </c>
      <c r="L13" s="10">
        <f>'P &amp; L'!L113</f>
        <v>246000</v>
      </c>
      <c r="M13" s="10">
        <f>'P &amp; L'!M113</f>
        <v>261000</v>
      </c>
      <c r="N13" s="10">
        <f>'P &amp; L'!N113</f>
        <v>285000</v>
      </c>
      <c r="O13" s="10">
        <f>'P &amp; L'!O113</f>
        <v>324000</v>
      </c>
      <c r="P13" s="4" t="s">
        <v>81</v>
      </c>
      <c r="Q13" s="15">
        <f>SUM(D13:O13)</f>
        <v>2733000</v>
      </c>
      <c r="R13" t="s">
        <v>82</v>
      </c>
      <c r="S13" s="16">
        <f>Q13/Q7</f>
        <v>0.3</v>
      </c>
      <c r="T13" s="15">
        <f>Q13*T14</f>
        <v>2951640</v>
      </c>
      <c r="U13" s="16">
        <f>T13/T7</f>
        <v>0.29454545454545455</v>
      </c>
      <c r="V13" s="15">
        <f>T13*V14</f>
        <v>3187771.2</v>
      </c>
    </row>
    <row r="14" spans="3:23" x14ac:dyDescent="0.25">
      <c r="C14" s="4" t="s">
        <v>83</v>
      </c>
      <c r="D14" s="16">
        <f>D13/D7</f>
        <v>0.3</v>
      </c>
      <c r="E14" s="16">
        <f t="shared" ref="E14:O14" si="2">E13/E7</f>
        <v>0.3</v>
      </c>
      <c r="F14" s="16">
        <f t="shared" si="2"/>
        <v>0.3</v>
      </c>
      <c r="G14" s="16">
        <f t="shared" si="2"/>
        <v>0.3</v>
      </c>
      <c r="H14" s="16">
        <f t="shared" si="2"/>
        <v>0.3</v>
      </c>
      <c r="I14" s="16">
        <f t="shared" si="2"/>
        <v>0.3</v>
      </c>
      <c r="J14" s="16">
        <f t="shared" si="2"/>
        <v>0.3</v>
      </c>
      <c r="K14" s="16">
        <f t="shared" si="2"/>
        <v>0.3</v>
      </c>
      <c r="L14" s="16">
        <f t="shared" si="2"/>
        <v>0.3</v>
      </c>
      <c r="M14" s="16">
        <f t="shared" si="2"/>
        <v>0.3</v>
      </c>
      <c r="N14" s="16">
        <f t="shared" si="2"/>
        <v>0.3</v>
      </c>
      <c r="O14" s="16">
        <f t="shared" si="2"/>
        <v>0.3</v>
      </c>
      <c r="P14" s="4"/>
      <c r="T14">
        <v>1.08</v>
      </c>
      <c r="V14">
        <v>1.08</v>
      </c>
    </row>
    <row r="15" spans="3:23" x14ac:dyDescent="0.25">
      <c r="C15" s="7" t="str">
        <f>'P &amp; L'!C130</f>
        <v>Outras despesas / receitas</v>
      </c>
      <c r="D15" s="10">
        <f>'P &amp; L'!D130</f>
        <v>1500</v>
      </c>
      <c r="E15" s="10">
        <f>'P &amp; L'!E130</f>
        <v>1570</v>
      </c>
      <c r="F15" s="10">
        <f>'P &amp; L'!F130</f>
        <v>1650</v>
      </c>
      <c r="G15" s="10">
        <f>'P &amp; L'!G130</f>
        <v>1730</v>
      </c>
      <c r="H15" s="10">
        <f>'P &amp; L'!H130</f>
        <v>1800</v>
      </c>
      <c r="I15" s="10">
        <f>'P &amp; L'!I130</f>
        <v>1870</v>
      </c>
      <c r="J15" s="10">
        <f>'P &amp; L'!J130</f>
        <v>1950</v>
      </c>
      <c r="K15" s="10">
        <f>'P &amp; L'!K130</f>
        <v>2030</v>
      </c>
      <c r="L15" s="10">
        <f>'P &amp; L'!L130</f>
        <v>2100</v>
      </c>
      <c r="M15" s="10">
        <f>'P &amp; L'!M130</f>
        <v>2250</v>
      </c>
      <c r="N15" s="10">
        <f>'P &amp; L'!N130</f>
        <v>2400</v>
      </c>
      <c r="O15" s="10">
        <f>'P &amp; L'!O130</f>
        <v>2700</v>
      </c>
      <c r="P15" s="4" t="s">
        <v>84</v>
      </c>
      <c r="Q15" s="15">
        <f>SUM(D15:O15)</f>
        <v>23550</v>
      </c>
      <c r="T15" s="15">
        <f>Q15</f>
        <v>23550</v>
      </c>
      <c r="V15" s="15">
        <f>T15</f>
        <v>23550</v>
      </c>
    </row>
    <row r="16" spans="3:23" x14ac:dyDescent="0.25">
      <c r="P16" s="4"/>
    </row>
    <row r="17" spans="3:22" x14ac:dyDescent="0.25">
      <c r="C17" s="7" t="str">
        <f>'P &amp; L'!C136</f>
        <v>Lucro Liquido</v>
      </c>
      <c r="D17" s="10">
        <f>'P &amp; L'!D136</f>
        <v>97705.724999999977</v>
      </c>
      <c r="E17" s="10">
        <f>'P &amp; L'!E136</f>
        <v>107312.70000000001</v>
      </c>
      <c r="F17" s="10">
        <f>'P &amp; L'!F136</f>
        <v>119270.51000000001</v>
      </c>
      <c r="G17" s="10">
        <f>'P &amp; L'!G136</f>
        <v>136701.1508</v>
      </c>
      <c r="H17" s="10">
        <f>'P &amp; L'!H136</f>
        <v>150127.90000000002</v>
      </c>
      <c r="I17" s="10">
        <f>'P &amp; L'!I136</f>
        <v>161953.52500000002</v>
      </c>
      <c r="J17" s="10">
        <f>'P &amp; L'!J136</f>
        <v>174232.88</v>
      </c>
      <c r="K17" s="10">
        <f>'P &amp; L'!K136</f>
        <v>186955.37379999994</v>
      </c>
      <c r="L17" s="10">
        <f>'P &amp; L'!L136</f>
        <v>200112.75</v>
      </c>
      <c r="M17" s="10">
        <f>'P &amp; L'!M136</f>
        <v>218770.81499999994</v>
      </c>
      <c r="N17" s="10">
        <f>'P &amp; L'!N136</f>
        <v>245856.5</v>
      </c>
      <c r="O17" s="10">
        <f>'P &amp; L'!O136</f>
        <v>287457.35279999999</v>
      </c>
      <c r="P17" s="4" t="s">
        <v>85</v>
      </c>
      <c r="Q17" s="15">
        <f>SUM(D17:O17)</f>
        <v>2086457.1823999998</v>
      </c>
      <c r="R17" t="s">
        <v>86</v>
      </c>
      <c r="S17" s="16">
        <f>Q17/Q7</f>
        <v>0.22902932847420415</v>
      </c>
      <c r="T17" s="15">
        <f>T11-T13+T15</f>
        <v>2390548.8288159985</v>
      </c>
      <c r="V17" s="15">
        <f>V11-V13+V15</f>
        <v>2573745.9585449584</v>
      </c>
    </row>
    <row r="18" spans="3:22" x14ac:dyDescent="0.25">
      <c r="C18" s="4" t="s">
        <v>87</v>
      </c>
      <c r="D18" s="16">
        <f>D17/D7</f>
        <v>0.17764677272727269</v>
      </c>
      <c r="E18" s="16">
        <f t="shared" ref="E18:O18" si="3">E17/E7</f>
        <v>0.18502189655172416</v>
      </c>
      <c r="F18" s="16">
        <f t="shared" si="3"/>
        <v>0.19237179032258067</v>
      </c>
      <c r="G18" s="16">
        <f t="shared" si="3"/>
        <v>0.20712295575757575</v>
      </c>
      <c r="H18" s="16">
        <f t="shared" si="3"/>
        <v>0.21446842857142862</v>
      </c>
      <c r="I18" s="16">
        <f t="shared" si="3"/>
        <v>0.22185414383561647</v>
      </c>
      <c r="J18" s="16">
        <f t="shared" si="3"/>
        <v>0.22925378947368422</v>
      </c>
      <c r="K18" s="16">
        <f t="shared" si="3"/>
        <v>0.23665237189873412</v>
      </c>
      <c r="L18" s="16">
        <f t="shared" si="3"/>
        <v>0.24403993902439025</v>
      </c>
      <c r="M18" s="16">
        <f t="shared" si="3"/>
        <v>0.25146070689655164</v>
      </c>
      <c r="N18" s="16">
        <f t="shared" si="3"/>
        <v>0.25879631578947371</v>
      </c>
      <c r="O18" s="16">
        <f t="shared" si="3"/>
        <v>0.26616421555555553</v>
      </c>
      <c r="T18" s="58">
        <f>T17/Q17</f>
        <v>1.1457454526175368</v>
      </c>
      <c r="V18" s="112">
        <f>V17/T17</f>
        <v>1.0766339208472451</v>
      </c>
    </row>
    <row r="20" spans="3:22" x14ac:dyDescent="0.25">
      <c r="V20" s="112">
        <f>V17/Q17</f>
        <v>1.2335484189445203</v>
      </c>
    </row>
    <row r="87" spans="4:17" ht="15.75" thickBot="1" x14ac:dyDescent="0.3">
      <c r="D87" s="3" t="s">
        <v>1</v>
      </c>
      <c r="E87" s="9" t="s">
        <v>2</v>
      </c>
      <c r="F87" s="3" t="s">
        <v>3</v>
      </c>
      <c r="G87" s="3" t="s">
        <v>4</v>
      </c>
      <c r="H87" s="3" t="s">
        <v>5</v>
      </c>
      <c r="I87" s="3" t="s">
        <v>6</v>
      </c>
      <c r="J87" s="3" t="s">
        <v>7</v>
      </c>
      <c r="K87" s="3" t="s">
        <v>8</v>
      </c>
      <c r="L87" s="3" t="s">
        <v>9</v>
      </c>
      <c r="M87" s="3" t="s">
        <v>10</v>
      </c>
      <c r="N87" s="3" t="s">
        <v>11</v>
      </c>
      <c r="O87" s="3" t="s">
        <v>12</v>
      </c>
      <c r="P87" s="3" t="s">
        <v>13</v>
      </c>
    </row>
    <row r="89" spans="4:17" x14ac:dyDescent="0.25">
      <c r="D89" s="7" t="s">
        <v>14</v>
      </c>
      <c r="E89" s="46">
        <f>'P &amp; L'!D7</f>
        <v>550000</v>
      </c>
      <c r="F89" s="46">
        <f>'P &amp; L'!E7</f>
        <v>580000</v>
      </c>
      <c r="G89" s="46">
        <f>'P &amp; L'!F7</f>
        <v>620000</v>
      </c>
      <c r="H89" s="46">
        <f>'P &amp; L'!G7</f>
        <v>660000</v>
      </c>
      <c r="I89" s="46">
        <f>'P &amp; L'!H7</f>
        <v>700000</v>
      </c>
      <c r="J89" s="46">
        <f>'P &amp; L'!I7</f>
        <v>730000</v>
      </c>
      <c r="K89" s="46">
        <f>'P &amp; L'!J7</f>
        <v>760000</v>
      </c>
      <c r="L89" s="46">
        <f>'P &amp; L'!K7</f>
        <v>790000</v>
      </c>
      <c r="M89" s="46">
        <f>'P &amp; L'!L7</f>
        <v>820000</v>
      </c>
      <c r="N89" s="46">
        <f>'P &amp; L'!M7</f>
        <v>870000</v>
      </c>
      <c r="O89" s="46">
        <f>'P &amp; L'!N7</f>
        <v>950000</v>
      </c>
      <c r="P89" s="46">
        <f>'P &amp; L'!O7</f>
        <v>1080000</v>
      </c>
    </row>
    <row r="90" spans="4:17" x14ac:dyDescent="0.25">
      <c r="D90" s="66" t="s">
        <v>75</v>
      </c>
      <c r="E90" s="67">
        <f>D9</f>
        <v>288794.27500000002</v>
      </c>
      <c r="F90" s="67">
        <f t="shared" ref="F90:P90" si="4">E9</f>
        <v>300257.3</v>
      </c>
      <c r="G90" s="67">
        <f t="shared" si="4"/>
        <v>316379.49</v>
      </c>
      <c r="H90" s="67">
        <f t="shared" si="4"/>
        <v>327028.8492</v>
      </c>
      <c r="I90" s="67">
        <f t="shared" si="4"/>
        <v>341672.1</v>
      </c>
      <c r="J90" s="67">
        <f t="shared" si="4"/>
        <v>350916.47499999998</v>
      </c>
      <c r="K90" s="67">
        <f t="shared" si="4"/>
        <v>359717.12</v>
      </c>
      <c r="L90" s="67">
        <f t="shared" si="4"/>
        <v>368074.62620000006</v>
      </c>
      <c r="M90" s="67">
        <f t="shared" si="4"/>
        <v>375987.25</v>
      </c>
      <c r="N90" s="67">
        <f t="shared" si="4"/>
        <v>392479.18500000006</v>
      </c>
      <c r="O90" s="67">
        <f t="shared" si="4"/>
        <v>421543.5</v>
      </c>
      <c r="P90" s="67">
        <f t="shared" si="4"/>
        <v>471242.64720000001</v>
      </c>
    </row>
    <row r="91" spans="4:17" x14ac:dyDescent="0.25">
      <c r="D91" s="7" t="s">
        <v>88</v>
      </c>
      <c r="E91" s="46">
        <f t="shared" ref="E91:P91" si="5">E92+E96+E100+E104+E108</f>
        <v>433200</v>
      </c>
      <c r="F91" s="46">
        <f t="shared" si="5"/>
        <v>456400</v>
      </c>
      <c r="G91" s="46">
        <f t="shared" si="5"/>
        <v>487200</v>
      </c>
      <c r="H91" s="46">
        <f t="shared" si="5"/>
        <v>510200</v>
      </c>
      <c r="I91" s="46">
        <f t="shared" si="5"/>
        <v>539800</v>
      </c>
      <c r="J91" s="46">
        <f t="shared" si="5"/>
        <v>561500</v>
      </c>
      <c r="K91" s="46">
        <f t="shared" si="5"/>
        <v>582700</v>
      </c>
      <c r="L91" s="46">
        <f t="shared" si="5"/>
        <v>603600</v>
      </c>
      <c r="M91" s="46">
        <f t="shared" si="5"/>
        <v>624100</v>
      </c>
      <c r="N91" s="46">
        <f t="shared" si="5"/>
        <v>659400</v>
      </c>
      <c r="O91" s="46">
        <f t="shared" si="5"/>
        <v>737700</v>
      </c>
      <c r="P91" s="46">
        <f t="shared" si="5"/>
        <v>895400</v>
      </c>
      <c r="Q91" s="4"/>
    </row>
    <row r="92" spans="4:17" x14ac:dyDescent="0.25">
      <c r="D92" s="41" t="s">
        <v>130</v>
      </c>
      <c r="E92" s="49">
        <f t="shared" ref="E92:P92" si="6">SUM(E94:E95)</f>
        <v>108300</v>
      </c>
      <c r="F92" s="49">
        <f t="shared" si="6"/>
        <v>114100</v>
      </c>
      <c r="G92" s="49">
        <f t="shared" si="6"/>
        <v>121800</v>
      </c>
      <c r="H92" s="49">
        <f t="shared" si="6"/>
        <v>127550</v>
      </c>
      <c r="I92" s="49">
        <f t="shared" si="6"/>
        <v>134950</v>
      </c>
      <c r="J92" s="49">
        <f t="shared" si="6"/>
        <v>140375</v>
      </c>
      <c r="K92" s="49">
        <f t="shared" si="6"/>
        <v>145675</v>
      </c>
      <c r="L92" s="49">
        <f t="shared" si="6"/>
        <v>150900</v>
      </c>
      <c r="M92" s="49">
        <f t="shared" si="6"/>
        <v>156025</v>
      </c>
      <c r="N92" s="49">
        <f t="shared" si="6"/>
        <v>164850</v>
      </c>
      <c r="O92" s="49">
        <f t="shared" si="6"/>
        <v>184425</v>
      </c>
      <c r="P92" s="49">
        <f t="shared" si="6"/>
        <v>223850</v>
      </c>
      <c r="Q92" s="13"/>
    </row>
    <row r="93" spans="4:17" x14ac:dyDescent="0.25">
      <c r="D93" s="50" t="s">
        <v>89</v>
      </c>
      <c r="E93" s="51">
        <f t="shared" ref="E93:P93" si="7">E92/E91</f>
        <v>0.25</v>
      </c>
      <c r="F93" s="51">
        <f t="shared" si="7"/>
        <v>0.25</v>
      </c>
      <c r="G93" s="51">
        <f t="shared" si="7"/>
        <v>0.25</v>
      </c>
      <c r="H93" s="51">
        <f t="shared" si="7"/>
        <v>0.25</v>
      </c>
      <c r="I93" s="51">
        <f t="shared" si="7"/>
        <v>0.25</v>
      </c>
      <c r="J93" s="51">
        <f t="shared" si="7"/>
        <v>0.25</v>
      </c>
      <c r="K93" s="51">
        <f t="shared" si="7"/>
        <v>0.25</v>
      </c>
      <c r="L93" s="51">
        <f t="shared" si="7"/>
        <v>0.25</v>
      </c>
      <c r="M93" s="51">
        <f t="shared" si="7"/>
        <v>0.25</v>
      </c>
      <c r="N93" s="51">
        <f t="shared" si="7"/>
        <v>0.25</v>
      </c>
      <c r="O93" s="51">
        <f t="shared" si="7"/>
        <v>0.25</v>
      </c>
      <c r="P93" s="51">
        <f t="shared" si="7"/>
        <v>0.25</v>
      </c>
      <c r="Q93" s="13"/>
    </row>
    <row r="94" spans="4:17" x14ac:dyDescent="0.25">
      <c r="D94" s="4" t="s">
        <v>145</v>
      </c>
      <c r="E94" s="35">
        <f>'P &amp; L'!D142</f>
        <v>64980</v>
      </c>
      <c r="F94" s="35">
        <f>'P &amp; L'!E142</f>
        <v>68460</v>
      </c>
      <c r="G94" s="35">
        <f>'P &amp; L'!F142</f>
        <v>73080</v>
      </c>
      <c r="H94" s="35">
        <f>'P &amp; L'!G142</f>
        <v>76530</v>
      </c>
      <c r="I94" s="35">
        <f>'P &amp; L'!H142</f>
        <v>80970</v>
      </c>
      <c r="J94" s="35">
        <f>'P &amp; L'!I142</f>
        <v>84225</v>
      </c>
      <c r="K94" s="35">
        <f>'P &amp; L'!J142</f>
        <v>87405</v>
      </c>
      <c r="L94" s="35">
        <f>'P &amp; L'!K142</f>
        <v>90540</v>
      </c>
      <c r="M94" s="35">
        <f>'P &amp; L'!L142</f>
        <v>93615</v>
      </c>
      <c r="N94" s="35">
        <f>'P &amp; L'!M142</f>
        <v>98910</v>
      </c>
      <c r="O94" s="35">
        <f>'P &amp; L'!N142</f>
        <v>110655</v>
      </c>
      <c r="P94" s="35">
        <f>'P &amp; L'!O142</f>
        <v>134310</v>
      </c>
      <c r="Q94" s="13"/>
    </row>
    <row r="95" spans="4:17" x14ac:dyDescent="0.25">
      <c r="D95" s="4" t="s">
        <v>146</v>
      </c>
      <c r="E95" s="35">
        <f>'P &amp; L'!D143</f>
        <v>43320</v>
      </c>
      <c r="F95" s="35">
        <f>'P &amp; L'!E143</f>
        <v>45640</v>
      </c>
      <c r="G95" s="35">
        <f>'P &amp; L'!F143</f>
        <v>48720</v>
      </c>
      <c r="H95" s="35">
        <f>'P &amp; L'!G143</f>
        <v>51020</v>
      </c>
      <c r="I95" s="35">
        <f>'P &amp; L'!H143</f>
        <v>53980</v>
      </c>
      <c r="J95" s="35">
        <f>'P &amp; L'!I143</f>
        <v>56150</v>
      </c>
      <c r="K95" s="35">
        <f>'P &amp; L'!J143</f>
        <v>58270</v>
      </c>
      <c r="L95" s="35">
        <f>'P &amp; L'!K143</f>
        <v>60360</v>
      </c>
      <c r="M95" s="35">
        <f>'P &amp; L'!L143</f>
        <v>62410</v>
      </c>
      <c r="N95" s="35">
        <f>'P &amp; L'!M143</f>
        <v>65940</v>
      </c>
      <c r="O95" s="35">
        <f>'P &amp; L'!N143</f>
        <v>73770</v>
      </c>
      <c r="P95" s="35">
        <f>'P &amp; L'!O143</f>
        <v>89540</v>
      </c>
      <c r="Q95" s="13"/>
    </row>
    <row r="96" spans="4:17" x14ac:dyDescent="0.25">
      <c r="D96" s="41" t="s">
        <v>131</v>
      </c>
      <c r="E96" s="49">
        <f t="shared" ref="E96:P96" si="8">SUM(E98:E99)</f>
        <v>95304</v>
      </c>
      <c r="F96" s="49">
        <f t="shared" si="8"/>
        <v>100408</v>
      </c>
      <c r="G96" s="49">
        <f t="shared" si="8"/>
        <v>107184</v>
      </c>
      <c r="H96" s="49">
        <f t="shared" si="8"/>
        <v>112244</v>
      </c>
      <c r="I96" s="49">
        <f t="shared" si="8"/>
        <v>118756</v>
      </c>
      <c r="J96" s="49">
        <f t="shared" si="8"/>
        <v>123530</v>
      </c>
      <c r="K96" s="49">
        <f t="shared" si="8"/>
        <v>128194</v>
      </c>
      <c r="L96" s="49">
        <f t="shared" si="8"/>
        <v>132792</v>
      </c>
      <c r="M96" s="49">
        <f t="shared" si="8"/>
        <v>137302</v>
      </c>
      <c r="N96" s="49">
        <f t="shared" si="8"/>
        <v>145068</v>
      </c>
      <c r="O96" s="49">
        <f t="shared" si="8"/>
        <v>162294</v>
      </c>
      <c r="P96" s="49">
        <f t="shared" si="8"/>
        <v>196988</v>
      </c>
      <c r="Q96" s="13"/>
    </row>
    <row r="97" spans="4:17" x14ac:dyDescent="0.25">
      <c r="D97" s="50" t="s">
        <v>90</v>
      </c>
      <c r="E97" s="51">
        <f t="shared" ref="E97:P97" si="9">E96/E91</f>
        <v>0.22</v>
      </c>
      <c r="F97" s="51">
        <f t="shared" si="9"/>
        <v>0.22</v>
      </c>
      <c r="G97" s="51">
        <f t="shared" si="9"/>
        <v>0.22</v>
      </c>
      <c r="H97" s="51">
        <f t="shared" si="9"/>
        <v>0.22</v>
      </c>
      <c r="I97" s="51">
        <f t="shared" si="9"/>
        <v>0.22</v>
      </c>
      <c r="J97" s="51">
        <f t="shared" si="9"/>
        <v>0.22</v>
      </c>
      <c r="K97" s="51">
        <f t="shared" si="9"/>
        <v>0.22</v>
      </c>
      <c r="L97" s="51">
        <f t="shared" si="9"/>
        <v>0.22</v>
      </c>
      <c r="M97" s="51">
        <f t="shared" si="9"/>
        <v>0.22</v>
      </c>
      <c r="N97" s="51">
        <f t="shared" si="9"/>
        <v>0.22</v>
      </c>
      <c r="O97" s="51">
        <f t="shared" si="9"/>
        <v>0.22</v>
      </c>
      <c r="P97" s="51">
        <f t="shared" si="9"/>
        <v>0.22</v>
      </c>
      <c r="Q97" s="13"/>
    </row>
    <row r="98" spans="4:17" x14ac:dyDescent="0.25">
      <c r="D98" s="4" t="s">
        <v>147</v>
      </c>
      <c r="E98" s="52">
        <f>'P &amp; L'!D145</f>
        <v>51984</v>
      </c>
      <c r="F98" s="52">
        <f>'P &amp; L'!E145</f>
        <v>54768</v>
      </c>
      <c r="G98" s="52">
        <f>'P &amp; L'!F145</f>
        <v>58464</v>
      </c>
      <c r="H98" s="52">
        <f>'P &amp; L'!G145</f>
        <v>61224</v>
      </c>
      <c r="I98" s="52">
        <f>'P &amp; L'!H145</f>
        <v>64776</v>
      </c>
      <c r="J98" s="52">
        <f>'P &amp; L'!I145</f>
        <v>67380</v>
      </c>
      <c r="K98" s="52">
        <f>'P &amp; L'!J145</f>
        <v>69924</v>
      </c>
      <c r="L98" s="52">
        <f>'P &amp; L'!K145</f>
        <v>72432</v>
      </c>
      <c r="M98" s="52">
        <f>'P &amp; L'!L145</f>
        <v>74892</v>
      </c>
      <c r="N98" s="52">
        <f>'P &amp; L'!M145</f>
        <v>79128</v>
      </c>
      <c r="O98" s="52">
        <f>'P &amp; L'!N145</f>
        <v>88524</v>
      </c>
      <c r="P98" s="52">
        <f>'P &amp; L'!O145</f>
        <v>107448</v>
      </c>
      <c r="Q98" s="13"/>
    </row>
    <row r="99" spans="4:17" x14ac:dyDescent="0.25">
      <c r="D99" s="4" t="s">
        <v>148</v>
      </c>
      <c r="E99" s="35">
        <f>'P &amp; L'!D146</f>
        <v>43320</v>
      </c>
      <c r="F99" s="35">
        <f>'P &amp; L'!E146</f>
        <v>45640</v>
      </c>
      <c r="G99" s="35">
        <f>'P &amp; L'!F146</f>
        <v>48720</v>
      </c>
      <c r="H99" s="35">
        <f>'P &amp; L'!G146</f>
        <v>51020</v>
      </c>
      <c r="I99" s="35">
        <f>'P &amp; L'!H146</f>
        <v>53980</v>
      </c>
      <c r="J99" s="35">
        <f>'P &amp; L'!I146</f>
        <v>56150</v>
      </c>
      <c r="K99" s="35">
        <f>'P &amp; L'!J146</f>
        <v>58270</v>
      </c>
      <c r="L99" s="35">
        <f>'P &amp; L'!K146</f>
        <v>60360</v>
      </c>
      <c r="M99" s="35">
        <f>'P &amp; L'!L146</f>
        <v>62410</v>
      </c>
      <c r="N99" s="35">
        <f>'P &amp; L'!M146</f>
        <v>65940</v>
      </c>
      <c r="O99" s="35">
        <f>'P &amp; L'!N146</f>
        <v>73770</v>
      </c>
      <c r="P99" s="35">
        <f>'P &amp; L'!O146</f>
        <v>89540</v>
      </c>
      <c r="Q99" s="13"/>
    </row>
    <row r="100" spans="4:17" x14ac:dyDescent="0.25">
      <c r="D100" s="41" t="s">
        <v>132</v>
      </c>
      <c r="E100" s="54">
        <f t="shared" ref="E100:P100" si="10">SUM(E102:E103)</f>
        <v>95304</v>
      </c>
      <c r="F100" s="54">
        <f t="shared" si="10"/>
        <v>100408</v>
      </c>
      <c r="G100" s="54">
        <f t="shared" si="10"/>
        <v>107184</v>
      </c>
      <c r="H100" s="54">
        <f t="shared" si="10"/>
        <v>112244</v>
      </c>
      <c r="I100" s="54">
        <f t="shared" si="10"/>
        <v>118756</v>
      </c>
      <c r="J100" s="54">
        <f t="shared" si="10"/>
        <v>123530</v>
      </c>
      <c r="K100" s="54">
        <f t="shared" si="10"/>
        <v>128194</v>
      </c>
      <c r="L100" s="54">
        <f t="shared" si="10"/>
        <v>132792</v>
      </c>
      <c r="M100" s="54">
        <f t="shared" si="10"/>
        <v>137302</v>
      </c>
      <c r="N100" s="54">
        <f t="shared" si="10"/>
        <v>145068</v>
      </c>
      <c r="O100" s="54">
        <f t="shared" si="10"/>
        <v>162294</v>
      </c>
      <c r="P100" s="54">
        <f t="shared" si="10"/>
        <v>196988</v>
      </c>
      <c r="Q100" s="13"/>
    </row>
    <row r="101" spans="4:17" s="65" customFormat="1" x14ac:dyDescent="0.25">
      <c r="D101" s="50" t="s">
        <v>91</v>
      </c>
      <c r="E101" s="51">
        <f t="shared" ref="E101:P101" si="11">E100/E91</f>
        <v>0.22</v>
      </c>
      <c r="F101" s="51">
        <f t="shared" si="11"/>
        <v>0.22</v>
      </c>
      <c r="G101" s="51">
        <f t="shared" si="11"/>
        <v>0.22</v>
      </c>
      <c r="H101" s="51">
        <f t="shared" si="11"/>
        <v>0.22</v>
      </c>
      <c r="I101" s="51">
        <f t="shared" si="11"/>
        <v>0.22</v>
      </c>
      <c r="J101" s="51">
        <f t="shared" si="11"/>
        <v>0.22</v>
      </c>
      <c r="K101" s="51">
        <f t="shared" si="11"/>
        <v>0.22</v>
      </c>
      <c r="L101" s="51">
        <f t="shared" si="11"/>
        <v>0.22</v>
      </c>
      <c r="M101" s="51">
        <f t="shared" si="11"/>
        <v>0.22</v>
      </c>
      <c r="N101" s="51">
        <f t="shared" si="11"/>
        <v>0.22</v>
      </c>
      <c r="O101" s="51">
        <f t="shared" si="11"/>
        <v>0.22</v>
      </c>
      <c r="P101" s="51">
        <f t="shared" si="11"/>
        <v>0.22</v>
      </c>
      <c r="Q101" s="64"/>
    </row>
    <row r="102" spans="4:17" x14ac:dyDescent="0.25">
      <c r="D102" s="4" t="s">
        <v>154</v>
      </c>
      <c r="E102" s="53">
        <f>'P &amp; L'!D148</f>
        <v>51984</v>
      </c>
      <c r="F102" s="53">
        <f>'P &amp; L'!E148</f>
        <v>54768</v>
      </c>
      <c r="G102" s="53">
        <f>'P &amp; L'!F148</f>
        <v>58464</v>
      </c>
      <c r="H102" s="53">
        <f>'P &amp; L'!G148</f>
        <v>61224</v>
      </c>
      <c r="I102" s="53">
        <f>'P &amp; L'!H148</f>
        <v>64776</v>
      </c>
      <c r="J102" s="53">
        <f>'P &amp; L'!I148</f>
        <v>67380</v>
      </c>
      <c r="K102" s="53">
        <f>'P &amp; L'!J148</f>
        <v>69924</v>
      </c>
      <c r="L102" s="53">
        <f>'P &amp; L'!K148</f>
        <v>72432</v>
      </c>
      <c r="M102" s="53">
        <f>'P &amp; L'!L148</f>
        <v>74892</v>
      </c>
      <c r="N102" s="53">
        <f>'P &amp; L'!M148</f>
        <v>79128</v>
      </c>
      <c r="O102" s="53">
        <f>'P &amp; L'!N148</f>
        <v>88524</v>
      </c>
      <c r="P102" s="53">
        <f>'P &amp; L'!O148</f>
        <v>107448</v>
      </c>
      <c r="Q102" s="13"/>
    </row>
    <row r="103" spans="4:17" x14ac:dyDescent="0.25">
      <c r="D103" s="4" t="s">
        <v>149</v>
      </c>
      <c r="E103" s="52">
        <f>'P &amp; L'!D149</f>
        <v>43320</v>
      </c>
      <c r="F103" s="52">
        <f>'P &amp; L'!E149</f>
        <v>45640</v>
      </c>
      <c r="G103" s="52">
        <f>'P &amp; L'!F149</f>
        <v>48720</v>
      </c>
      <c r="H103" s="52">
        <f>'P &amp; L'!G149</f>
        <v>51020</v>
      </c>
      <c r="I103" s="52">
        <f>'P &amp; L'!H149</f>
        <v>53980</v>
      </c>
      <c r="J103" s="52">
        <f>'P &amp; L'!I149</f>
        <v>56150</v>
      </c>
      <c r="K103" s="52">
        <f>'P &amp; L'!J149</f>
        <v>58270</v>
      </c>
      <c r="L103" s="52">
        <f>'P &amp; L'!K149</f>
        <v>60360</v>
      </c>
      <c r="M103" s="52">
        <f>'P &amp; L'!L149</f>
        <v>62410</v>
      </c>
      <c r="N103" s="52">
        <f>'P &amp; L'!M149</f>
        <v>65940</v>
      </c>
      <c r="O103" s="52">
        <f>'P &amp; L'!N149</f>
        <v>73770</v>
      </c>
      <c r="P103" s="52">
        <f>'P &amp; L'!O149</f>
        <v>89540</v>
      </c>
      <c r="Q103" s="13"/>
    </row>
    <row r="104" spans="4:17" x14ac:dyDescent="0.25">
      <c r="D104" s="41" t="s">
        <v>133</v>
      </c>
      <c r="E104" s="54">
        <f t="shared" ref="E104:P104" si="12">SUM(E106:E107)</f>
        <v>69312</v>
      </c>
      <c r="F104" s="54">
        <f t="shared" si="12"/>
        <v>73024</v>
      </c>
      <c r="G104" s="54">
        <f t="shared" si="12"/>
        <v>77952</v>
      </c>
      <c r="H104" s="54">
        <f t="shared" si="12"/>
        <v>81632</v>
      </c>
      <c r="I104" s="54">
        <f t="shared" si="12"/>
        <v>86368</v>
      </c>
      <c r="J104" s="54">
        <f t="shared" si="12"/>
        <v>89840</v>
      </c>
      <c r="K104" s="54">
        <f t="shared" si="12"/>
        <v>93232</v>
      </c>
      <c r="L104" s="54">
        <f t="shared" si="12"/>
        <v>96576</v>
      </c>
      <c r="M104" s="54">
        <f t="shared" si="12"/>
        <v>99856</v>
      </c>
      <c r="N104" s="54">
        <f t="shared" si="12"/>
        <v>105504</v>
      </c>
      <c r="O104" s="54">
        <f t="shared" si="12"/>
        <v>118032</v>
      </c>
      <c r="P104" s="54">
        <f t="shared" si="12"/>
        <v>143264</v>
      </c>
      <c r="Q104" s="13"/>
    </row>
    <row r="105" spans="4:17" s="65" customFormat="1" x14ac:dyDescent="0.25">
      <c r="D105" s="55" t="s">
        <v>92</v>
      </c>
      <c r="E105" s="51">
        <f t="shared" ref="E105:P105" si="13">E104/E91</f>
        <v>0.16</v>
      </c>
      <c r="F105" s="51">
        <f t="shared" si="13"/>
        <v>0.16</v>
      </c>
      <c r="G105" s="51">
        <f t="shared" si="13"/>
        <v>0.16</v>
      </c>
      <c r="H105" s="51">
        <f t="shared" si="13"/>
        <v>0.16</v>
      </c>
      <c r="I105" s="51">
        <f t="shared" si="13"/>
        <v>0.16</v>
      </c>
      <c r="J105" s="51">
        <f t="shared" si="13"/>
        <v>0.16</v>
      </c>
      <c r="K105" s="51">
        <f t="shared" si="13"/>
        <v>0.16</v>
      </c>
      <c r="L105" s="51">
        <f t="shared" si="13"/>
        <v>0.16</v>
      </c>
      <c r="M105" s="51">
        <f t="shared" si="13"/>
        <v>0.16</v>
      </c>
      <c r="N105" s="51">
        <f t="shared" si="13"/>
        <v>0.16</v>
      </c>
      <c r="O105" s="51">
        <f t="shared" si="13"/>
        <v>0.16</v>
      </c>
      <c r="P105" s="51">
        <f t="shared" si="13"/>
        <v>0.16</v>
      </c>
      <c r="Q105" s="64"/>
    </row>
    <row r="106" spans="4:17" x14ac:dyDescent="0.25">
      <c r="D106" s="4" t="s">
        <v>150</v>
      </c>
      <c r="E106" s="53">
        <f>'P &amp; L'!D151</f>
        <v>38988</v>
      </c>
      <c r="F106" s="53">
        <f>'P &amp; L'!E151</f>
        <v>41076</v>
      </c>
      <c r="G106" s="53">
        <f>'P &amp; L'!F151</f>
        <v>43848</v>
      </c>
      <c r="H106" s="53">
        <f>'P &amp; L'!G151</f>
        <v>45918</v>
      </c>
      <c r="I106" s="53">
        <f>'P &amp; L'!H151</f>
        <v>48582</v>
      </c>
      <c r="J106" s="53">
        <f>'P &amp; L'!I151</f>
        <v>50535</v>
      </c>
      <c r="K106" s="53">
        <f>'P &amp; L'!J151</f>
        <v>52443</v>
      </c>
      <c r="L106" s="53">
        <f>'P &amp; L'!K151</f>
        <v>54324</v>
      </c>
      <c r="M106" s="53">
        <f>'P &amp; L'!L151</f>
        <v>56169</v>
      </c>
      <c r="N106" s="53">
        <f>'P &amp; L'!M151</f>
        <v>59346</v>
      </c>
      <c r="O106" s="53">
        <f>'P &amp; L'!N151</f>
        <v>66393</v>
      </c>
      <c r="P106" s="53">
        <f>'P &amp; L'!O151</f>
        <v>80586</v>
      </c>
      <c r="Q106" s="13"/>
    </row>
    <row r="107" spans="4:17" x14ac:dyDescent="0.25">
      <c r="D107" s="4" t="s">
        <v>151</v>
      </c>
      <c r="E107" s="53">
        <f>'P &amp; L'!D152</f>
        <v>30324</v>
      </c>
      <c r="F107" s="53">
        <f>'P &amp; L'!E152</f>
        <v>31948</v>
      </c>
      <c r="G107" s="53">
        <f>'P &amp; L'!F152</f>
        <v>34104</v>
      </c>
      <c r="H107" s="53">
        <f>'P &amp; L'!G152</f>
        <v>35714</v>
      </c>
      <c r="I107" s="53">
        <f>'P &amp; L'!H152</f>
        <v>37786</v>
      </c>
      <c r="J107" s="53">
        <f>'P &amp; L'!I152</f>
        <v>39305</v>
      </c>
      <c r="K107" s="53">
        <f>'P &amp; L'!J152</f>
        <v>40789</v>
      </c>
      <c r="L107" s="53">
        <f>'P &amp; L'!K152</f>
        <v>42252</v>
      </c>
      <c r="M107" s="53">
        <f>'P &amp; L'!L152</f>
        <v>43687</v>
      </c>
      <c r="N107" s="53">
        <f>'P &amp; L'!M152</f>
        <v>46158</v>
      </c>
      <c r="O107" s="53">
        <f>'P &amp; L'!N152</f>
        <v>51639</v>
      </c>
      <c r="P107" s="53">
        <f>'P &amp; L'!O152</f>
        <v>62678</v>
      </c>
      <c r="Q107" s="13"/>
    </row>
    <row r="108" spans="4:17" x14ac:dyDescent="0.25">
      <c r="D108" s="41" t="s">
        <v>134</v>
      </c>
      <c r="E108" s="54">
        <f t="shared" ref="E108:P108" si="14">SUM(E110:E111)</f>
        <v>64980</v>
      </c>
      <c r="F108" s="54">
        <f t="shared" si="14"/>
        <v>68460</v>
      </c>
      <c r="G108" s="54">
        <f t="shared" si="14"/>
        <v>73080</v>
      </c>
      <c r="H108" s="54">
        <f t="shared" si="14"/>
        <v>76530</v>
      </c>
      <c r="I108" s="54">
        <f t="shared" si="14"/>
        <v>80970</v>
      </c>
      <c r="J108" s="54">
        <f t="shared" si="14"/>
        <v>84225</v>
      </c>
      <c r="K108" s="54">
        <f t="shared" si="14"/>
        <v>87405</v>
      </c>
      <c r="L108" s="54">
        <f t="shared" si="14"/>
        <v>90540</v>
      </c>
      <c r="M108" s="54">
        <f t="shared" si="14"/>
        <v>93615</v>
      </c>
      <c r="N108" s="54">
        <f t="shared" si="14"/>
        <v>98910</v>
      </c>
      <c r="O108" s="54">
        <f t="shared" si="14"/>
        <v>110655</v>
      </c>
      <c r="P108" s="54">
        <f t="shared" si="14"/>
        <v>134310</v>
      </c>
      <c r="Q108" s="13"/>
    </row>
    <row r="109" spans="4:17" s="63" customFormat="1" ht="12.75" x14ac:dyDescent="0.2">
      <c r="D109" s="55" t="s">
        <v>93</v>
      </c>
      <c r="E109" s="62">
        <f t="shared" ref="E109:P109" si="15">E108/E91</f>
        <v>0.15</v>
      </c>
      <c r="F109" s="62">
        <f t="shared" si="15"/>
        <v>0.15</v>
      </c>
      <c r="G109" s="62">
        <f t="shared" si="15"/>
        <v>0.15</v>
      </c>
      <c r="H109" s="62">
        <f t="shared" si="15"/>
        <v>0.15</v>
      </c>
      <c r="I109" s="62">
        <f t="shared" si="15"/>
        <v>0.15</v>
      </c>
      <c r="J109" s="62">
        <f t="shared" si="15"/>
        <v>0.15</v>
      </c>
      <c r="K109" s="62">
        <f t="shared" si="15"/>
        <v>0.15</v>
      </c>
      <c r="L109" s="62">
        <f t="shared" si="15"/>
        <v>0.15</v>
      </c>
      <c r="M109" s="62">
        <f t="shared" si="15"/>
        <v>0.15</v>
      </c>
      <c r="N109" s="62">
        <f t="shared" si="15"/>
        <v>0.15</v>
      </c>
      <c r="O109" s="62">
        <f t="shared" si="15"/>
        <v>0.15</v>
      </c>
      <c r="P109" s="62">
        <f t="shared" si="15"/>
        <v>0.15</v>
      </c>
    </row>
    <row r="110" spans="4:17" x14ac:dyDescent="0.25">
      <c r="D110" s="4" t="s">
        <v>152</v>
      </c>
      <c r="E110" s="56">
        <f>'P &amp; L'!D154</f>
        <v>34656</v>
      </c>
      <c r="F110" s="56">
        <f>'P &amp; L'!E154</f>
        <v>36512</v>
      </c>
      <c r="G110" s="56">
        <f>'P &amp; L'!F154</f>
        <v>38976</v>
      </c>
      <c r="H110" s="56">
        <f>'P &amp; L'!G154</f>
        <v>40816</v>
      </c>
      <c r="I110" s="56">
        <f>'P &amp; L'!H154</f>
        <v>43184</v>
      </c>
      <c r="J110" s="56">
        <f>'P &amp; L'!I154</f>
        <v>44920</v>
      </c>
      <c r="K110" s="56">
        <f>'P &amp; L'!J154</f>
        <v>46616</v>
      </c>
      <c r="L110" s="56">
        <f>'P &amp; L'!K154</f>
        <v>48288</v>
      </c>
      <c r="M110" s="56">
        <f>'P &amp; L'!L154</f>
        <v>49928</v>
      </c>
      <c r="N110" s="56">
        <f>'P &amp; L'!M154</f>
        <v>52752</v>
      </c>
      <c r="O110" s="56">
        <f>'P &amp; L'!N154</f>
        <v>59016</v>
      </c>
      <c r="P110" s="56">
        <f>'P &amp; L'!O154</f>
        <v>71632</v>
      </c>
    </row>
    <row r="111" spans="4:17" x14ac:dyDescent="0.25">
      <c r="D111" s="4" t="s">
        <v>153</v>
      </c>
      <c r="E111" s="56">
        <f>'P &amp; L'!D155</f>
        <v>30324</v>
      </c>
      <c r="F111" s="56">
        <f>'P &amp; L'!E155</f>
        <v>31948</v>
      </c>
      <c r="G111" s="56">
        <f>'P &amp; L'!F155</f>
        <v>34104</v>
      </c>
      <c r="H111" s="56">
        <f>'P &amp; L'!G155</f>
        <v>35714</v>
      </c>
      <c r="I111" s="56">
        <f>'P &amp; L'!H155</f>
        <v>37786</v>
      </c>
      <c r="J111" s="56">
        <f>'P &amp; L'!I155</f>
        <v>39305</v>
      </c>
      <c r="K111" s="56">
        <f>'P &amp; L'!J155</f>
        <v>40789</v>
      </c>
      <c r="L111" s="56">
        <f>'P &amp; L'!K155</f>
        <v>42252</v>
      </c>
      <c r="M111" s="56">
        <f>'P &amp; L'!L155</f>
        <v>43687</v>
      </c>
      <c r="N111" s="56">
        <f>'P &amp; L'!M155</f>
        <v>46158</v>
      </c>
      <c r="O111" s="56">
        <f>'P &amp; L'!N155</f>
        <v>51639</v>
      </c>
      <c r="P111" s="56">
        <f>'P &amp; L'!O155</f>
        <v>62678</v>
      </c>
    </row>
    <row r="112" spans="4:17" x14ac:dyDescent="0.25">
      <c r="D112" s="4"/>
    </row>
    <row r="113" spans="4:16" x14ac:dyDescent="0.25">
      <c r="D113" s="59" t="s">
        <v>94</v>
      </c>
      <c r="E113" s="60">
        <f>(E89*12)/E91</f>
        <v>15.235457063711911</v>
      </c>
      <c r="F113" s="60">
        <f t="shared" ref="F113:P113" si="16">(F89*12)/F91</f>
        <v>15.249780893952673</v>
      </c>
      <c r="G113" s="60">
        <f t="shared" si="16"/>
        <v>15.270935960591133</v>
      </c>
      <c r="H113" s="60">
        <f t="shared" si="16"/>
        <v>15.523324186593493</v>
      </c>
      <c r="I113" s="60">
        <f t="shared" si="16"/>
        <v>15.561319007039645</v>
      </c>
      <c r="J113" s="60">
        <f t="shared" si="16"/>
        <v>15.60106856634016</v>
      </c>
      <c r="K113" s="60">
        <f t="shared" si="16"/>
        <v>15.651278530976489</v>
      </c>
      <c r="L113" s="60">
        <f t="shared" si="16"/>
        <v>15.705765407554672</v>
      </c>
      <c r="M113" s="60">
        <f t="shared" si="16"/>
        <v>15.766704053837525</v>
      </c>
      <c r="N113" s="60">
        <f t="shared" si="16"/>
        <v>15.832575068243859</v>
      </c>
      <c r="O113" s="60">
        <f t="shared" si="16"/>
        <v>15.453436356242374</v>
      </c>
      <c r="P113" s="60">
        <f t="shared" si="16"/>
        <v>14.473978110341747</v>
      </c>
    </row>
    <row r="114" spans="4:16" x14ac:dyDescent="0.25">
      <c r="D114" s="57" t="s">
        <v>95</v>
      </c>
      <c r="E114" s="60"/>
      <c r="F114" s="47"/>
      <c r="G114" s="47"/>
      <c r="H114" s="47"/>
      <c r="I114" s="47"/>
      <c r="J114" s="47"/>
      <c r="K114" s="47"/>
      <c r="L114" s="47"/>
      <c r="M114" s="47"/>
      <c r="N114" s="47"/>
      <c r="O114" s="47"/>
      <c r="P114" s="47"/>
    </row>
    <row r="116" spans="4:16" x14ac:dyDescent="0.25">
      <c r="D116" s="59" t="s">
        <v>96</v>
      </c>
      <c r="E116" s="93">
        <f>(E90*12)/E91</f>
        <v>7.9998414127423825</v>
      </c>
      <c r="F116" s="93">
        <f t="shared" ref="F116:P116" si="17">(F90*12)/F91</f>
        <v>7.8945828220858889</v>
      </c>
      <c r="G116" s="93">
        <f t="shared" si="17"/>
        <v>7.7925982758620691</v>
      </c>
      <c r="H116" s="93">
        <f t="shared" si="17"/>
        <v>7.6917800674245385</v>
      </c>
      <c r="I116" s="93">
        <f t="shared" si="17"/>
        <v>7.5955264912930707</v>
      </c>
      <c r="J116" s="93">
        <f t="shared" si="17"/>
        <v>7.4995506678539616</v>
      </c>
      <c r="K116" s="93">
        <f t="shared" si="17"/>
        <v>7.4079379440535433</v>
      </c>
      <c r="L116" s="93">
        <f t="shared" si="17"/>
        <v>7.3175870019880724</v>
      </c>
      <c r="M116" s="93">
        <f t="shared" si="17"/>
        <v>7.2293654863002725</v>
      </c>
      <c r="N116" s="93">
        <f t="shared" si="17"/>
        <v>7.1424783439490458</v>
      </c>
      <c r="O116" s="93">
        <f t="shared" si="17"/>
        <v>6.8571533143554291</v>
      </c>
      <c r="P116" s="93">
        <f t="shared" si="17"/>
        <v>6.3155145928076841</v>
      </c>
    </row>
    <row r="117" spans="4:16" x14ac:dyDescent="0.25">
      <c r="D117" s="4" t="s">
        <v>97</v>
      </c>
    </row>
  </sheetData>
  <mergeCells count="3">
    <mergeCell ref="Q5:S5"/>
    <mergeCell ref="T5:U5"/>
    <mergeCell ref="V5:W5"/>
  </mergeCells>
  <phoneticPr fontId="4" type="noConversion"/>
  <pageMargins left="0.511811024" right="0.511811024" top="0.78740157499999996" bottom="0.78740157499999996" header="0.31496062000000002" footer="0.31496062000000002"/>
  <pageSetup paperSize="9" orientation="portrait" verticalDpi="30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N31"/>
  <sheetViews>
    <sheetView workbookViewId="0">
      <selection activeCell="P35" sqref="P35"/>
    </sheetView>
  </sheetViews>
  <sheetFormatPr defaultRowHeight="15" x14ac:dyDescent="0.25"/>
  <cols>
    <col min="3" max="3" width="30.28515625" customWidth="1"/>
    <col min="4" max="4" width="16.85546875" bestFit="1" customWidth="1"/>
    <col min="5" max="5" width="20.7109375" bestFit="1" customWidth="1"/>
    <col min="7" max="7" width="16.85546875" bestFit="1" customWidth="1"/>
    <col min="8" max="8" width="15.140625" bestFit="1" customWidth="1"/>
    <col min="9" max="9" width="17.28515625" customWidth="1"/>
    <col min="11" max="11" width="16.85546875" bestFit="1" customWidth="1"/>
    <col min="12" max="12" width="12.140625" bestFit="1" customWidth="1"/>
    <col min="13" max="13" width="15.140625" bestFit="1" customWidth="1"/>
    <col min="14" max="14" width="15.5703125" bestFit="1" customWidth="1"/>
  </cols>
  <sheetData>
    <row r="1" spans="1:14" x14ac:dyDescent="0.25">
      <c r="A1" t="s">
        <v>113</v>
      </c>
    </row>
    <row r="2" spans="1:14" ht="15.75" thickBot="1" x14ac:dyDescent="0.3"/>
    <row r="3" spans="1:14" ht="19.5" thickBot="1" x14ac:dyDescent="0.35">
      <c r="C3" s="171" t="s">
        <v>129</v>
      </c>
      <c r="D3" s="172"/>
      <c r="E3" s="172"/>
      <c r="F3" s="172"/>
      <c r="G3" s="172"/>
      <c r="H3" s="172"/>
      <c r="I3" s="172"/>
      <c r="J3" s="172"/>
      <c r="K3" s="172"/>
      <c r="L3" s="172"/>
      <c r="M3" s="172"/>
      <c r="N3" s="173"/>
    </row>
    <row r="6" spans="1:14" x14ac:dyDescent="0.25">
      <c r="D6" s="142" t="s">
        <v>121</v>
      </c>
      <c r="E6" s="125" t="s">
        <v>122</v>
      </c>
      <c r="F6" s="126" t="s">
        <v>123</v>
      </c>
      <c r="G6" s="121" t="s">
        <v>72</v>
      </c>
      <c r="H6" s="119" t="s">
        <v>124</v>
      </c>
      <c r="I6" s="125" t="s">
        <v>125</v>
      </c>
      <c r="J6" s="126" t="s">
        <v>123</v>
      </c>
      <c r="K6" s="120" t="s">
        <v>73</v>
      </c>
      <c r="L6" s="135" t="s">
        <v>126</v>
      </c>
      <c r="M6" s="130" t="s">
        <v>127</v>
      </c>
      <c r="N6" s="118" t="s">
        <v>128</v>
      </c>
    </row>
    <row r="7" spans="1:14" x14ac:dyDescent="0.25">
      <c r="C7" s="153" t="str">
        <f>'P &amp; L'!C7</f>
        <v>Receita Liquida</v>
      </c>
      <c r="D7" s="154">
        <f>SUM('P &amp; L'!D7:O7)</f>
        <v>9110000</v>
      </c>
      <c r="E7" s="155">
        <v>0.1</v>
      </c>
      <c r="F7" s="156">
        <f>1+E7</f>
        <v>1.1000000000000001</v>
      </c>
      <c r="G7" s="157">
        <f>D7*F7</f>
        <v>10021000</v>
      </c>
      <c r="H7" s="158">
        <f>(G7/D7)-1</f>
        <v>0.10000000000000009</v>
      </c>
      <c r="I7" s="155">
        <v>0.1</v>
      </c>
      <c r="J7" s="156">
        <f>1+I7</f>
        <v>1.1000000000000001</v>
      </c>
      <c r="K7" s="159">
        <f>G7*J7</f>
        <v>11023100</v>
      </c>
      <c r="L7" s="160">
        <f>(K7/G7)-1</f>
        <v>0.10000000000000009</v>
      </c>
      <c r="M7" s="161">
        <f>(K7/D7)-1</f>
        <v>0.20999999999999996</v>
      </c>
      <c r="N7" s="139"/>
    </row>
    <row r="8" spans="1:14" x14ac:dyDescent="0.25">
      <c r="C8" s="136"/>
      <c r="D8" s="143"/>
      <c r="E8" s="151"/>
      <c r="F8" s="127"/>
      <c r="G8" s="122"/>
      <c r="H8" s="140"/>
      <c r="I8" s="151"/>
      <c r="J8" s="127"/>
      <c r="K8" s="131"/>
      <c r="L8" s="147"/>
      <c r="M8" s="117"/>
      <c r="N8" s="117"/>
    </row>
    <row r="9" spans="1:14" x14ac:dyDescent="0.25">
      <c r="C9" s="136"/>
      <c r="D9" s="143"/>
      <c r="E9" s="151"/>
      <c r="F9" s="127"/>
      <c r="G9" s="122"/>
      <c r="H9" s="140"/>
      <c r="I9" s="151"/>
      <c r="J9" s="127"/>
      <c r="K9" s="131"/>
      <c r="L9" s="147"/>
      <c r="M9" s="117"/>
      <c r="N9" s="117"/>
    </row>
    <row r="10" spans="1:14" x14ac:dyDescent="0.25">
      <c r="C10" s="153" t="str">
        <f>'P &amp; L'!C35</f>
        <v>Custo das Mercadorias vendidas</v>
      </c>
      <c r="D10" s="154">
        <f>SUM('P &amp; L'!D35:O35)</f>
        <v>4314092.8176000006</v>
      </c>
      <c r="E10" s="155">
        <v>0.09</v>
      </c>
      <c r="F10" s="156">
        <f>1+E10</f>
        <v>1.0900000000000001</v>
      </c>
      <c r="G10" s="157">
        <f>D10*F10</f>
        <v>4702361.1711840015</v>
      </c>
      <c r="H10" s="158">
        <f>(G10/D10)-1</f>
        <v>9.000000000000008E-2</v>
      </c>
      <c r="I10" s="155">
        <v>0.09</v>
      </c>
      <c r="J10" s="156">
        <f>1+I10</f>
        <v>1.0900000000000001</v>
      </c>
      <c r="K10" s="159">
        <f>G10*J10</f>
        <v>5125573.6765905619</v>
      </c>
      <c r="L10" s="160">
        <f>(K10/G10)-1</f>
        <v>9.000000000000008E-2</v>
      </c>
      <c r="M10" s="161">
        <f>(K10/D10)-1</f>
        <v>0.18810000000000016</v>
      </c>
      <c r="N10" s="139"/>
    </row>
    <row r="11" spans="1:14" x14ac:dyDescent="0.25">
      <c r="C11" s="137" t="s">
        <v>77</v>
      </c>
      <c r="D11" s="144">
        <f>D10/D7</f>
        <v>0.47355574287596053</v>
      </c>
      <c r="E11" s="151"/>
      <c r="F11" s="127"/>
      <c r="G11" s="123">
        <f>G10/G7</f>
        <v>0.46925069066799735</v>
      </c>
      <c r="H11" s="140"/>
      <c r="I11" s="151"/>
      <c r="J11" s="127"/>
      <c r="K11" s="132">
        <f>K10/K7</f>
        <v>0.4649847752982883</v>
      </c>
      <c r="L11" s="147"/>
      <c r="M11" s="117"/>
      <c r="N11" s="117"/>
    </row>
    <row r="12" spans="1:14" x14ac:dyDescent="0.25">
      <c r="C12" s="136"/>
      <c r="D12" s="143"/>
      <c r="E12" s="151"/>
      <c r="F12" s="127"/>
      <c r="G12" s="122"/>
      <c r="H12" s="140"/>
      <c r="I12" s="151"/>
      <c r="J12" s="127"/>
      <c r="K12" s="131"/>
      <c r="L12" s="147"/>
      <c r="M12" s="117"/>
      <c r="N12" s="117"/>
    </row>
    <row r="13" spans="1:14" x14ac:dyDescent="0.25">
      <c r="C13" s="153" t="str">
        <f>'P &amp; L'!C104</f>
        <v>Lucro Bruto</v>
      </c>
      <c r="D13" s="154">
        <f>SUM('P &amp; L'!D104:O104)</f>
        <v>4795907.1823999994</v>
      </c>
      <c r="E13" s="155">
        <v>0.11</v>
      </c>
      <c r="F13" s="156">
        <f>1+E13</f>
        <v>1.1100000000000001</v>
      </c>
      <c r="G13" s="157">
        <f>G7-G10</f>
        <v>5318638.8288159985</v>
      </c>
      <c r="H13" s="158">
        <f>(G13/D13)-1</f>
        <v>0.10899536344955085</v>
      </c>
      <c r="I13" s="155">
        <v>0.11</v>
      </c>
      <c r="J13" s="156">
        <f>1+I13</f>
        <v>1.1100000000000001</v>
      </c>
      <c r="K13" s="159">
        <f>K7-K10</f>
        <v>5897526.3234094381</v>
      </c>
      <c r="L13" s="160">
        <f>(K13/G13)-1</f>
        <v>0.10884128688285233</v>
      </c>
      <c r="M13" s="161">
        <f>(K13/D13)-1</f>
        <v>0.22969984595451653</v>
      </c>
      <c r="N13" s="139"/>
    </row>
    <row r="14" spans="1:14" x14ac:dyDescent="0.25">
      <c r="C14" s="137" t="s">
        <v>80</v>
      </c>
      <c r="D14" s="144">
        <f>D13/D7</f>
        <v>0.52644425712403942</v>
      </c>
      <c r="E14" s="151"/>
      <c r="F14" s="127"/>
      <c r="G14" s="123">
        <f>G13/G7</f>
        <v>0.53074930933200259</v>
      </c>
      <c r="H14" s="140"/>
      <c r="I14" s="151"/>
      <c r="J14" s="127"/>
      <c r="K14" s="132">
        <f>K13/K7</f>
        <v>0.5350152247017117</v>
      </c>
      <c r="L14" s="147"/>
      <c r="M14" s="117"/>
      <c r="N14" s="117"/>
    </row>
    <row r="15" spans="1:14" x14ac:dyDescent="0.25">
      <c r="C15" s="136"/>
      <c r="D15" s="143"/>
      <c r="E15" s="151"/>
      <c r="F15" s="127"/>
      <c r="G15" s="122"/>
      <c r="H15" s="140"/>
      <c r="I15" s="151"/>
      <c r="J15" s="127"/>
      <c r="K15" s="131"/>
      <c r="L15" s="147"/>
      <c r="M15" s="117"/>
      <c r="N15" s="117"/>
    </row>
    <row r="16" spans="1:14" x14ac:dyDescent="0.25">
      <c r="C16" s="153" t="str">
        <f>'P &amp; L'!C115</f>
        <v>Despesas Administrativas</v>
      </c>
      <c r="D16" s="154">
        <f>SUM('P &amp; L'!D115:O115)</f>
        <v>1548700</v>
      </c>
      <c r="E16" s="155">
        <v>0.09</v>
      </c>
      <c r="F16" s="156">
        <f>1+E16</f>
        <v>1.0900000000000001</v>
      </c>
      <c r="G16" s="157">
        <f>D16*F16</f>
        <v>1688083.0000000002</v>
      </c>
      <c r="H16" s="158">
        <f>(G16/D16)-1</f>
        <v>9.000000000000008E-2</v>
      </c>
      <c r="I16" s="155">
        <v>0.08</v>
      </c>
      <c r="J16" s="156">
        <f>1+I16</f>
        <v>1.08</v>
      </c>
      <c r="K16" s="159">
        <f>G16*J16</f>
        <v>1823129.6400000004</v>
      </c>
      <c r="L16" s="160">
        <f>(K16/G16)-1</f>
        <v>8.0000000000000071E-2</v>
      </c>
      <c r="M16" s="161">
        <f>(K16/D16)-1</f>
        <v>0.17720000000000025</v>
      </c>
      <c r="N16" s="139"/>
    </row>
    <row r="17" spans="3:14" x14ac:dyDescent="0.25">
      <c r="C17" s="137" t="s">
        <v>116</v>
      </c>
      <c r="D17" s="144">
        <f>D16/D7</f>
        <v>0.17</v>
      </c>
      <c r="E17" s="151"/>
      <c r="F17" s="127"/>
      <c r="G17" s="123">
        <f>G16/G7</f>
        <v>0.16845454545454547</v>
      </c>
      <c r="H17" s="140"/>
      <c r="I17" s="151"/>
      <c r="J17" s="127"/>
      <c r="K17" s="132">
        <f>K16/K7</f>
        <v>0.16539173553719011</v>
      </c>
      <c r="L17" s="147"/>
      <c r="M17" s="117"/>
      <c r="N17" s="117"/>
    </row>
    <row r="18" spans="3:14" x14ac:dyDescent="0.25">
      <c r="C18" s="136"/>
      <c r="D18" s="143"/>
      <c r="E18" s="151"/>
      <c r="F18" s="127"/>
      <c r="G18" s="122"/>
      <c r="H18" s="140"/>
      <c r="I18" s="151"/>
      <c r="J18" s="127"/>
      <c r="K18" s="131"/>
      <c r="L18" s="147"/>
      <c r="M18" s="117"/>
      <c r="N18" s="117"/>
    </row>
    <row r="19" spans="3:14" x14ac:dyDescent="0.25">
      <c r="C19" s="153" t="str">
        <f>'P &amp; L'!C122</f>
        <v>Despesas Comerciais</v>
      </c>
      <c r="D19" s="154">
        <f>SUM('P &amp; L'!D122:O122)</f>
        <v>1184300</v>
      </c>
      <c r="E19" s="155">
        <v>0.1</v>
      </c>
      <c r="F19" s="156">
        <f>1+E19</f>
        <v>1.1000000000000001</v>
      </c>
      <c r="G19" s="157">
        <f>D19*F19</f>
        <v>1302730</v>
      </c>
      <c r="H19" s="158">
        <f>(G19/D19)-1</f>
        <v>0.10000000000000009</v>
      </c>
      <c r="I19" s="155">
        <v>0.09</v>
      </c>
      <c r="J19" s="156">
        <f>1+I19</f>
        <v>1.0900000000000001</v>
      </c>
      <c r="K19" s="159">
        <f>G19*J19</f>
        <v>1419975.7000000002</v>
      </c>
      <c r="L19" s="160">
        <f>(K19/G19)-1</f>
        <v>9.000000000000008E-2</v>
      </c>
      <c r="M19" s="161">
        <f>(K19/D19)-1</f>
        <v>0.19900000000000007</v>
      </c>
      <c r="N19" s="139"/>
    </row>
    <row r="20" spans="3:14" x14ac:dyDescent="0.25">
      <c r="C20" s="137" t="s">
        <v>117</v>
      </c>
      <c r="D20" s="144">
        <f>D19/D7</f>
        <v>0.13</v>
      </c>
      <c r="E20" s="151"/>
      <c r="F20" s="127"/>
      <c r="G20" s="123">
        <f>G19/G7</f>
        <v>0.13</v>
      </c>
      <c r="H20" s="140"/>
      <c r="I20" s="151"/>
      <c r="J20" s="127"/>
      <c r="K20" s="132">
        <f>K19/K7</f>
        <v>0.12881818181818183</v>
      </c>
      <c r="L20" s="147"/>
      <c r="M20" s="117"/>
      <c r="N20" s="117"/>
    </row>
    <row r="21" spans="3:14" x14ac:dyDescent="0.25">
      <c r="C21" s="136"/>
      <c r="D21" s="143"/>
      <c r="E21" s="151"/>
      <c r="F21" s="127"/>
      <c r="G21" s="122"/>
      <c r="H21" s="140"/>
      <c r="I21" s="151"/>
      <c r="J21" s="127"/>
      <c r="K21" s="131"/>
      <c r="L21" s="147"/>
      <c r="M21" s="117"/>
      <c r="N21" s="117"/>
    </row>
    <row r="22" spans="3:14" x14ac:dyDescent="0.25">
      <c r="C22" s="153" t="str">
        <f>'P &amp; L'!C130</f>
        <v>Outras despesas / receitas</v>
      </c>
      <c r="D22" s="154">
        <f>SUM('P &amp; L'!D130:O130)</f>
        <v>23550</v>
      </c>
      <c r="E22" s="155">
        <v>0.05</v>
      </c>
      <c r="F22" s="156">
        <f>1+E22</f>
        <v>1.05</v>
      </c>
      <c r="G22" s="157">
        <f>D22*F22</f>
        <v>24727.5</v>
      </c>
      <c r="H22" s="158">
        <f>(G22/D22)-1</f>
        <v>5.0000000000000044E-2</v>
      </c>
      <c r="I22" s="155">
        <v>0.05</v>
      </c>
      <c r="J22" s="156">
        <f>1+I22</f>
        <v>1.05</v>
      </c>
      <c r="K22" s="159">
        <f>G22*J22</f>
        <v>25963.875</v>
      </c>
      <c r="L22" s="160">
        <f>(K22/G22)-1</f>
        <v>5.0000000000000044E-2</v>
      </c>
      <c r="M22" s="161">
        <f>(K22/D22)-1</f>
        <v>0.10250000000000004</v>
      </c>
      <c r="N22" s="139"/>
    </row>
    <row r="23" spans="3:14" x14ac:dyDescent="0.25">
      <c r="C23" s="137" t="s">
        <v>118</v>
      </c>
      <c r="D23" s="145">
        <f>D22/D7</f>
        <v>2.5850713501646542E-3</v>
      </c>
      <c r="E23" s="151"/>
      <c r="F23" s="127"/>
      <c r="G23" s="129">
        <f>G22/G7</f>
        <v>2.4675681069753516E-3</v>
      </c>
      <c r="H23" s="140"/>
      <c r="I23" s="151"/>
      <c r="J23" s="127"/>
      <c r="K23" s="133">
        <f>K22/K7</f>
        <v>2.3554059202946539E-3</v>
      </c>
      <c r="L23" s="147"/>
      <c r="M23" s="117"/>
      <c r="N23" s="117"/>
    </row>
    <row r="24" spans="3:14" ht="15.75" thickBot="1" x14ac:dyDescent="0.3">
      <c r="C24" s="136"/>
      <c r="D24" s="143"/>
      <c r="E24" s="151"/>
      <c r="F24" s="127"/>
      <c r="G24" s="122"/>
      <c r="H24" s="140"/>
      <c r="I24" s="151"/>
      <c r="J24" s="127"/>
      <c r="K24" s="131"/>
      <c r="L24" s="147"/>
      <c r="M24" s="117"/>
      <c r="N24" s="117"/>
    </row>
    <row r="25" spans="3:14" ht="15.75" thickBot="1" x14ac:dyDescent="0.3">
      <c r="C25" s="153" t="str">
        <f>'P &amp; L'!C136</f>
        <v>Lucro Liquido</v>
      </c>
      <c r="D25" s="154">
        <f>SUM('P &amp; L'!D136:O136)</f>
        <v>2086457.1823999998</v>
      </c>
      <c r="E25" s="155">
        <v>0.11</v>
      </c>
      <c r="F25" s="156">
        <f>1+E25</f>
        <v>1.1100000000000001</v>
      </c>
      <c r="G25" s="157">
        <f>G13-G16-G19-G22</f>
        <v>2303098.3288159985</v>
      </c>
      <c r="H25" s="158">
        <f>(G25/D25)-1</f>
        <v>0.10383205955216468</v>
      </c>
      <c r="I25" s="155">
        <v>0.12</v>
      </c>
      <c r="J25" s="156">
        <f>1+I25</f>
        <v>1.1200000000000001</v>
      </c>
      <c r="K25" s="159">
        <f>K13-K16-K19-K22</f>
        <v>2628457.1084094374</v>
      </c>
      <c r="L25" s="160">
        <f>(K25/G25)-1</f>
        <v>0.14127003416337103</v>
      </c>
      <c r="M25" s="160">
        <f>(K25/D25)-1</f>
        <v>0.25977045231572338</v>
      </c>
      <c r="N25" s="149">
        <v>0.2</v>
      </c>
    </row>
    <row r="26" spans="3:14" x14ac:dyDescent="0.25">
      <c r="C26" s="137" t="s">
        <v>119</v>
      </c>
      <c r="D26" s="144">
        <f>D25/D7</f>
        <v>0.22902932847420415</v>
      </c>
      <c r="E26" s="151"/>
      <c r="F26" s="127"/>
      <c r="G26" s="123">
        <f>G25/G7</f>
        <v>0.22982719577048183</v>
      </c>
      <c r="H26" s="140"/>
      <c r="I26" s="151"/>
      <c r="J26" s="127"/>
      <c r="K26" s="132">
        <f>K25/K7</f>
        <v>0.23844990142604505</v>
      </c>
      <c r="L26" s="147"/>
      <c r="M26" s="117"/>
      <c r="N26" s="117"/>
    </row>
    <row r="27" spans="3:14" x14ac:dyDescent="0.25">
      <c r="C27" s="136"/>
      <c r="D27" s="143"/>
      <c r="E27" s="151"/>
      <c r="F27" s="127"/>
      <c r="G27" s="122"/>
      <c r="H27" s="140"/>
      <c r="I27" s="151"/>
      <c r="J27" s="127"/>
      <c r="K27" s="131"/>
      <c r="L27" s="147"/>
      <c r="M27" s="117"/>
      <c r="N27" s="117"/>
    </row>
    <row r="28" spans="3:14" x14ac:dyDescent="0.25">
      <c r="C28" s="136"/>
      <c r="D28" s="143"/>
      <c r="E28" s="151"/>
      <c r="F28" s="127"/>
      <c r="G28" s="122"/>
      <c r="H28" s="140"/>
      <c r="I28" s="151"/>
      <c r="J28" s="127"/>
      <c r="K28" s="131"/>
      <c r="L28" s="147"/>
      <c r="M28" s="117"/>
      <c r="N28" s="117"/>
    </row>
    <row r="29" spans="3:14" x14ac:dyDescent="0.25">
      <c r="C29" s="136"/>
      <c r="D29" s="143"/>
      <c r="E29" s="151"/>
      <c r="F29" s="127"/>
      <c r="G29" s="122"/>
      <c r="H29" s="140"/>
      <c r="I29" s="151"/>
      <c r="J29" s="127"/>
      <c r="K29" s="131"/>
      <c r="L29" s="147"/>
      <c r="M29" s="117"/>
      <c r="N29" s="117"/>
    </row>
    <row r="30" spans="3:14" ht="15.75" thickBot="1" x14ac:dyDescent="0.3">
      <c r="C30" s="153" t="str">
        <f>'P &amp; L'!C139</f>
        <v>Estoques</v>
      </c>
      <c r="D30" s="154">
        <f>SUM('P &amp; L'!D139:O139)</f>
        <v>7091200</v>
      </c>
      <c r="E30" s="155">
        <v>0.02</v>
      </c>
      <c r="F30" s="156">
        <f>1+E30</f>
        <v>1.02</v>
      </c>
      <c r="G30" s="157">
        <f>D30*F30</f>
        <v>7233024</v>
      </c>
      <c r="H30" s="158">
        <f>(G30/D30)-1</f>
        <v>2.0000000000000018E-2</v>
      </c>
      <c r="I30" s="155">
        <v>0.03</v>
      </c>
      <c r="J30" s="156">
        <f>1+I30</f>
        <v>1.03</v>
      </c>
      <c r="K30" s="159">
        <f>G30*J30</f>
        <v>7450014.7199999997</v>
      </c>
      <c r="L30" s="160">
        <f>(K30/G30)-1</f>
        <v>3.0000000000000027E-2</v>
      </c>
      <c r="M30" s="161">
        <f>(K30/D30)-1</f>
        <v>5.0599999999999978E-2</v>
      </c>
      <c r="N30" s="130"/>
    </row>
    <row r="31" spans="3:14" ht="15.75" thickBot="1" x14ac:dyDescent="0.3">
      <c r="C31" s="138" t="s">
        <v>120</v>
      </c>
      <c r="D31" s="146">
        <f>D10/(D30/12)</f>
        <v>7.3004729539711199</v>
      </c>
      <c r="E31" s="152"/>
      <c r="F31" s="128"/>
      <c r="G31" s="124">
        <f>G10/(G30/12)</f>
        <v>7.8014858037534536</v>
      </c>
      <c r="H31" s="141">
        <f>(G31/D31)-1</f>
        <v>6.8627450980392357E-2</v>
      </c>
      <c r="I31" s="152"/>
      <c r="J31" s="128"/>
      <c r="K31" s="134">
        <f>K10/(K30/12)</f>
        <v>8.2559412874672482</v>
      </c>
      <c r="L31" s="148">
        <f>(K31/G31)-1</f>
        <v>5.8252427184466216E-2</v>
      </c>
      <c r="M31" s="148">
        <f>(K31/D31)-1</f>
        <v>0.13087759375594943</v>
      </c>
      <c r="N31" s="150">
        <v>7</v>
      </c>
    </row>
  </sheetData>
  <mergeCells count="1">
    <mergeCell ref="C3:N3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2:AM169"/>
  <sheetViews>
    <sheetView tabSelected="1" zoomScale="85" zoomScaleNormal="85" workbookViewId="0">
      <pane xSplit="1" topLeftCell="B1" activePane="topRight" state="frozen"/>
      <selection pane="topRight" activeCell="Q136" sqref="Q136"/>
    </sheetView>
  </sheetViews>
  <sheetFormatPr defaultRowHeight="15" x14ac:dyDescent="0.25"/>
  <cols>
    <col min="1" max="1" width="36.140625" bestFit="1" customWidth="1"/>
    <col min="2" max="3" width="15.85546875" bestFit="1" customWidth="1"/>
    <col min="4" max="5" width="16.7109375" bestFit="1" customWidth="1"/>
    <col min="6" max="12" width="15.85546875" bestFit="1" customWidth="1"/>
    <col min="13" max="13" width="17.7109375" style="76" bestFit="1" customWidth="1"/>
    <col min="14" max="14" width="16.42578125" bestFit="1" customWidth="1"/>
    <col min="15" max="17" width="16.7109375" bestFit="1" customWidth="1"/>
    <col min="18" max="24" width="15.85546875" bestFit="1" customWidth="1"/>
    <col min="25" max="25" width="17.7109375" style="76" bestFit="1" customWidth="1"/>
    <col min="26" max="36" width="16" bestFit="1" customWidth="1"/>
    <col min="37" max="37" width="17.7109375" bestFit="1" customWidth="1"/>
    <col min="38" max="38" width="13.7109375" customWidth="1"/>
    <col min="39" max="39" width="11.140625" bestFit="1" customWidth="1"/>
  </cols>
  <sheetData>
    <row r="2" spans="1:37" x14ac:dyDescent="0.25">
      <c r="M2" s="113" t="s">
        <v>98</v>
      </c>
      <c r="N2" t="s">
        <v>99</v>
      </c>
      <c r="Y2" s="94" t="s">
        <v>99</v>
      </c>
      <c r="Z2" t="s">
        <v>100</v>
      </c>
      <c r="AK2" s="94" t="s">
        <v>100</v>
      </c>
    </row>
    <row r="3" spans="1:37" ht="15.75" thickBot="1" x14ac:dyDescent="0.3">
      <c r="A3" s="3" t="s">
        <v>1</v>
      </c>
      <c r="B3" s="9" t="s">
        <v>2</v>
      </c>
      <c r="C3" s="3" t="s">
        <v>3</v>
      </c>
      <c r="D3" s="3" t="s">
        <v>4</v>
      </c>
      <c r="E3" s="3" t="s">
        <v>5</v>
      </c>
      <c r="F3" s="3" t="s">
        <v>6</v>
      </c>
      <c r="G3" s="3" t="s">
        <v>7</v>
      </c>
      <c r="H3" s="3" t="s">
        <v>8</v>
      </c>
      <c r="I3" s="3" t="s">
        <v>9</v>
      </c>
      <c r="J3" s="3" t="s">
        <v>10</v>
      </c>
      <c r="K3" s="3" t="s">
        <v>11</v>
      </c>
      <c r="L3" s="3" t="s">
        <v>12</v>
      </c>
      <c r="M3" s="77" t="s">
        <v>13</v>
      </c>
      <c r="N3" s="9" t="s">
        <v>2</v>
      </c>
      <c r="O3" s="3" t="s">
        <v>3</v>
      </c>
      <c r="P3" s="3" t="s">
        <v>4</v>
      </c>
      <c r="Q3" s="3" t="s">
        <v>5</v>
      </c>
      <c r="R3" s="3" t="s">
        <v>6</v>
      </c>
      <c r="S3" s="3" t="s">
        <v>7</v>
      </c>
      <c r="T3" s="3" t="s">
        <v>8</v>
      </c>
      <c r="U3" s="3" t="s">
        <v>9</v>
      </c>
      <c r="V3" s="3" t="s">
        <v>10</v>
      </c>
      <c r="W3" s="3" t="s">
        <v>11</v>
      </c>
      <c r="X3" s="3" t="s">
        <v>12</v>
      </c>
      <c r="Y3" s="77" t="s">
        <v>13</v>
      </c>
      <c r="Z3" s="9" t="s">
        <v>2</v>
      </c>
      <c r="AA3" s="3" t="s">
        <v>3</v>
      </c>
      <c r="AB3" s="3" t="s">
        <v>4</v>
      </c>
      <c r="AC3" s="3" t="s">
        <v>5</v>
      </c>
      <c r="AD3" s="3" t="s">
        <v>6</v>
      </c>
      <c r="AE3" s="3" t="s">
        <v>7</v>
      </c>
      <c r="AF3" s="3" t="s">
        <v>8</v>
      </c>
      <c r="AG3" s="3" t="s">
        <v>9</v>
      </c>
      <c r="AH3" s="3" t="s">
        <v>10</v>
      </c>
      <c r="AI3" s="3" t="s">
        <v>11</v>
      </c>
      <c r="AJ3" s="3" t="s">
        <v>12</v>
      </c>
      <c r="AK3" s="77" t="s">
        <v>13</v>
      </c>
    </row>
    <row r="4" spans="1:37" x14ac:dyDescent="0.25">
      <c r="B4" s="8"/>
      <c r="C4" s="8"/>
      <c r="D4" s="8"/>
      <c r="E4" s="8"/>
      <c r="F4" s="8"/>
      <c r="G4" s="8"/>
      <c r="H4" s="8"/>
      <c r="I4" s="8"/>
      <c r="J4" s="8"/>
      <c r="K4" s="8"/>
      <c r="L4" s="8"/>
      <c r="M4" s="7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78"/>
      <c r="Z4" s="8"/>
      <c r="AA4" s="8"/>
      <c r="AB4" s="8"/>
      <c r="AC4" s="8"/>
      <c r="AD4" s="8"/>
      <c r="AE4" s="8"/>
      <c r="AF4" s="8"/>
      <c r="AG4" s="8"/>
      <c r="AH4" s="8"/>
      <c r="AI4" s="8"/>
      <c r="AJ4" s="8"/>
      <c r="AK4" s="78"/>
    </row>
    <row r="5" spans="1:37" x14ac:dyDescent="0.25">
      <c r="A5" s="7" t="s">
        <v>14</v>
      </c>
      <c r="B5" s="10">
        <f>B7</f>
        <v>550000</v>
      </c>
      <c r="C5" s="10">
        <f>C7</f>
        <v>580000</v>
      </c>
      <c r="D5" s="10">
        <f t="shared" ref="D5:M5" si="0">D7</f>
        <v>620000</v>
      </c>
      <c r="E5" s="10">
        <f t="shared" si="0"/>
        <v>660000</v>
      </c>
      <c r="F5" s="10">
        <f t="shared" si="0"/>
        <v>700000</v>
      </c>
      <c r="G5" s="10">
        <f t="shared" si="0"/>
        <v>730000</v>
      </c>
      <c r="H5" s="10">
        <f t="shared" si="0"/>
        <v>760000</v>
      </c>
      <c r="I5" s="10">
        <f t="shared" si="0"/>
        <v>790000</v>
      </c>
      <c r="J5" s="10">
        <f t="shared" si="0"/>
        <v>820000</v>
      </c>
      <c r="K5" s="10">
        <f t="shared" si="0"/>
        <v>870000</v>
      </c>
      <c r="L5" s="10">
        <f t="shared" si="0"/>
        <v>950000</v>
      </c>
      <c r="M5" s="79">
        <f t="shared" si="0"/>
        <v>1080000</v>
      </c>
      <c r="N5" s="10">
        <f>N7</f>
        <v>605000</v>
      </c>
      <c r="O5" s="10">
        <f>O7</f>
        <v>638000</v>
      </c>
      <c r="P5" s="10">
        <f t="shared" ref="P5:Y5" si="1">P7</f>
        <v>682000</v>
      </c>
      <c r="Q5" s="10">
        <f t="shared" si="1"/>
        <v>726000</v>
      </c>
      <c r="R5" s="10">
        <f t="shared" si="1"/>
        <v>770000</v>
      </c>
      <c r="S5" s="10">
        <f t="shared" si="1"/>
        <v>803000</v>
      </c>
      <c r="T5" s="10">
        <f t="shared" si="1"/>
        <v>836000</v>
      </c>
      <c r="U5" s="10">
        <f t="shared" si="1"/>
        <v>869000</v>
      </c>
      <c r="V5" s="10">
        <f t="shared" si="1"/>
        <v>902000</v>
      </c>
      <c r="W5" s="10">
        <f t="shared" si="1"/>
        <v>957000</v>
      </c>
      <c r="X5" s="10">
        <f t="shared" si="1"/>
        <v>1045000</v>
      </c>
      <c r="Y5" s="79">
        <f t="shared" si="1"/>
        <v>1188000</v>
      </c>
      <c r="Z5" s="10">
        <f>Z7</f>
        <v>665500</v>
      </c>
      <c r="AA5" s="10">
        <f>AA7</f>
        <v>701800.00000000012</v>
      </c>
      <c r="AB5" s="10">
        <f t="shared" ref="AB5:AK5" si="2">AB7</f>
        <v>750200.00000000012</v>
      </c>
      <c r="AC5" s="10">
        <f t="shared" si="2"/>
        <v>798600.00000000012</v>
      </c>
      <c r="AD5" s="10">
        <f t="shared" si="2"/>
        <v>847000.00000000023</v>
      </c>
      <c r="AE5" s="10">
        <f t="shared" si="2"/>
        <v>883300.00000000012</v>
      </c>
      <c r="AF5" s="10">
        <f t="shared" si="2"/>
        <v>919600.00000000012</v>
      </c>
      <c r="AG5" s="10">
        <f t="shared" si="2"/>
        <v>955900.00000000012</v>
      </c>
      <c r="AH5" s="10">
        <f t="shared" si="2"/>
        <v>992200</v>
      </c>
      <c r="AI5" s="10">
        <f t="shared" si="2"/>
        <v>1052700</v>
      </c>
      <c r="AJ5" s="10">
        <f t="shared" si="2"/>
        <v>1149500</v>
      </c>
      <c r="AK5" s="79">
        <f t="shared" si="2"/>
        <v>1306800.0000000002</v>
      </c>
    </row>
    <row r="6" spans="1:37" x14ac:dyDescent="0.25">
      <c r="A6" s="2"/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78"/>
      <c r="N6" s="95">
        <v>1.1000000000000001</v>
      </c>
      <c r="O6" s="8"/>
      <c r="P6" s="8"/>
      <c r="Q6" s="8"/>
      <c r="R6" s="8"/>
      <c r="S6" s="8"/>
      <c r="T6" s="8"/>
      <c r="U6" s="8"/>
      <c r="V6" s="8"/>
      <c r="W6" s="8"/>
      <c r="X6" s="8"/>
      <c r="Y6" s="78"/>
      <c r="Z6" s="95">
        <v>1.1000000000000001</v>
      </c>
      <c r="AA6" s="8"/>
      <c r="AB6" s="8"/>
      <c r="AC6" s="8"/>
      <c r="AD6" s="8"/>
      <c r="AE6" s="8"/>
      <c r="AF6" s="8"/>
      <c r="AG6" s="8"/>
      <c r="AH6" s="8"/>
      <c r="AI6" s="8"/>
      <c r="AJ6" s="8"/>
      <c r="AK6" s="78"/>
    </row>
    <row r="7" spans="1:37" x14ac:dyDescent="0.25">
      <c r="A7" s="92" t="s">
        <v>15</v>
      </c>
      <c r="B7" s="11">
        <f t="shared" ref="B7:AK7" si="3">SUM(B8:B13)</f>
        <v>550000</v>
      </c>
      <c r="C7" s="11">
        <f t="shared" si="3"/>
        <v>580000</v>
      </c>
      <c r="D7" s="11">
        <f t="shared" si="3"/>
        <v>620000</v>
      </c>
      <c r="E7" s="11">
        <f t="shared" si="3"/>
        <v>660000</v>
      </c>
      <c r="F7" s="11">
        <f t="shared" si="3"/>
        <v>700000</v>
      </c>
      <c r="G7" s="11">
        <f t="shared" si="3"/>
        <v>730000</v>
      </c>
      <c r="H7" s="11">
        <f t="shared" si="3"/>
        <v>760000</v>
      </c>
      <c r="I7" s="11">
        <f t="shared" si="3"/>
        <v>790000</v>
      </c>
      <c r="J7" s="11">
        <f t="shared" si="3"/>
        <v>820000</v>
      </c>
      <c r="K7" s="11">
        <f t="shared" si="3"/>
        <v>870000</v>
      </c>
      <c r="L7" s="11">
        <f t="shared" si="3"/>
        <v>950000</v>
      </c>
      <c r="M7" s="80">
        <f t="shared" si="3"/>
        <v>1080000</v>
      </c>
      <c r="N7" s="11">
        <f>SUM(N8:N12)</f>
        <v>605000</v>
      </c>
      <c r="O7" s="11">
        <f t="shared" si="3"/>
        <v>638000</v>
      </c>
      <c r="P7" s="11">
        <f t="shared" si="3"/>
        <v>682000</v>
      </c>
      <c r="Q7" s="11">
        <f t="shared" si="3"/>
        <v>726000</v>
      </c>
      <c r="R7" s="11">
        <f t="shared" si="3"/>
        <v>770000</v>
      </c>
      <c r="S7" s="11">
        <f t="shared" si="3"/>
        <v>803000</v>
      </c>
      <c r="T7" s="11">
        <f t="shared" si="3"/>
        <v>836000</v>
      </c>
      <c r="U7" s="11">
        <f t="shared" si="3"/>
        <v>869000</v>
      </c>
      <c r="V7" s="11">
        <f t="shared" si="3"/>
        <v>902000</v>
      </c>
      <c r="W7" s="11">
        <f t="shared" si="3"/>
        <v>957000</v>
      </c>
      <c r="X7" s="11">
        <f t="shared" si="3"/>
        <v>1045000</v>
      </c>
      <c r="Y7" s="80">
        <f t="shared" si="3"/>
        <v>1188000</v>
      </c>
      <c r="Z7" s="11">
        <f>SUM(Z8:Z12)</f>
        <v>665500</v>
      </c>
      <c r="AA7" s="11">
        <f t="shared" si="3"/>
        <v>701800.00000000012</v>
      </c>
      <c r="AB7" s="11">
        <f t="shared" si="3"/>
        <v>750200.00000000012</v>
      </c>
      <c r="AC7" s="11">
        <f t="shared" si="3"/>
        <v>798600.00000000012</v>
      </c>
      <c r="AD7" s="11">
        <f t="shared" si="3"/>
        <v>847000.00000000023</v>
      </c>
      <c r="AE7" s="11">
        <f t="shared" si="3"/>
        <v>883300.00000000012</v>
      </c>
      <c r="AF7" s="11">
        <f t="shared" si="3"/>
        <v>919600.00000000012</v>
      </c>
      <c r="AG7" s="11">
        <f t="shared" si="3"/>
        <v>955900.00000000012</v>
      </c>
      <c r="AH7" s="11">
        <f t="shared" si="3"/>
        <v>992200</v>
      </c>
      <c r="AI7" s="11">
        <f t="shared" si="3"/>
        <v>1052700</v>
      </c>
      <c r="AJ7" s="11">
        <f t="shared" si="3"/>
        <v>1149500</v>
      </c>
      <c r="AK7" s="80">
        <f t="shared" si="3"/>
        <v>1306800.0000000002</v>
      </c>
    </row>
    <row r="8" spans="1:37" x14ac:dyDescent="0.25">
      <c r="A8" s="1" t="s">
        <v>16</v>
      </c>
      <c r="B8" s="14">
        <v>70000</v>
      </c>
      <c r="C8" s="14">
        <v>75000</v>
      </c>
      <c r="D8" s="14">
        <v>80000</v>
      </c>
      <c r="E8" s="14">
        <v>85000</v>
      </c>
      <c r="F8" s="14">
        <v>90000</v>
      </c>
      <c r="G8" s="14">
        <v>95000</v>
      </c>
      <c r="H8" s="14">
        <v>100000</v>
      </c>
      <c r="I8" s="14">
        <v>105000</v>
      </c>
      <c r="J8" s="14">
        <v>110000</v>
      </c>
      <c r="K8" s="14">
        <v>120000</v>
      </c>
      <c r="L8" s="14">
        <v>130000</v>
      </c>
      <c r="M8" s="81">
        <v>150000</v>
      </c>
      <c r="N8" s="14">
        <f>B8*$N$6</f>
        <v>77000</v>
      </c>
      <c r="O8" s="14">
        <f t="shared" ref="O8:Y8" si="4">C8*$N$6</f>
        <v>82500</v>
      </c>
      <c r="P8" s="14">
        <f t="shared" si="4"/>
        <v>88000</v>
      </c>
      <c r="Q8" s="14">
        <f t="shared" si="4"/>
        <v>93500.000000000015</v>
      </c>
      <c r="R8" s="14">
        <f t="shared" si="4"/>
        <v>99000.000000000015</v>
      </c>
      <c r="S8" s="14">
        <f t="shared" si="4"/>
        <v>104500.00000000001</v>
      </c>
      <c r="T8" s="14">
        <f t="shared" si="4"/>
        <v>110000.00000000001</v>
      </c>
      <c r="U8" s="14">
        <f t="shared" si="4"/>
        <v>115500.00000000001</v>
      </c>
      <c r="V8" s="14">
        <f t="shared" si="4"/>
        <v>121000.00000000001</v>
      </c>
      <c r="W8" s="14">
        <f t="shared" si="4"/>
        <v>132000</v>
      </c>
      <c r="X8" s="14">
        <f t="shared" si="4"/>
        <v>143000</v>
      </c>
      <c r="Y8" s="81">
        <f t="shared" si="4"/>
        <v>165000</v>
      </c>
      <c r="Z8" s="14">
        <f>N8*$Z$6</f>
        <v>84700</v>
      </c>
      <c r="AA8" s="14">
        <f t="shared" ref="AA8:AA12" si="5">O8*$N$6</f>
        <v>90750.000000000015</v>
      </c>
      <c r="AB8" s="14">
        <f t="shared" ref="AB8:AB12" si="6">P8*$N$6</f>
        <v>96800.000000000015</v>
      </c>
      <c r="AC8" s="14">
        <f t="shared" ref="AC8:AC12" si="7">Q8*$N$6</f>
        <v>102850.00000000003</v>
      </c>
      <c r="AD8" s="14">
        <f t="shared" ref="AD8:AD12" si="8">R8*$N$6</f>
        <v>108900.00000000003</v>
      </c>
      <c r="AE8" s="14">
        <f t="shared" ref="AE8:AE12" si="9">S8*$N$6</f>
        <v>114950.00000000003</v>
      </c>
      <c r="AF8" s="14">
        <f t="shared" ref="AF8:AF12" si="10">T8*$N$6</f>
        <v>121000.00000000003</v>
      </c>
      <c r="AG8" s="14">
        <f t="shared" ref="AG8:AG12" si="11">U8*$N$6</f>
        <v>127050.00000000003</v>
      </c>
      <c r="AH8" s="14">
        <f t="shared" ref="AH8:AH12" si="12">V8*$N$6</f>
        <v>133100.00000000003</v>
      </c>
      <c r="AI8" s="14">
        <f t="shared" ref="AI8:AI12" si="13">W8*$N$6</f>
        <v>145200</v>
      </c>
      <c r="AJ8" s="14">
        <f t="shared" ref="AJ8:AJ12" si="14">X8*$N$6</f>
        <v>157300</v>
      </c>
      <c r="AK8" s="14">
        <f t="shared" ref="AK8:AK12" si="15">Y8*$N$6</f>
        <v>181500.00000000003</v>
      </c>
    </row>
    <row r="9" spans="1:37" x14ac:dyDescent="0.25">
      <c r="A9" s="1" t="s">
        <v>17</v>
      </c>
      <c r="B9" s="14">
        <v>80000</v>
      </c>
      <c r="C9" s="14">
        <v>85000</v>
      </c>
      <c r="D9" s="14">
        <v>90000</v>
      </c>
      <c r="E9" s="14">
        <v>95000</v>
      </c>
      <c r="F9" s="14">
        <v>100000</v>
      </c>
      <c r="G9" s="14">
        <v>105000</v>
      </c>
      <c r="H9" s="14">
        <v>110000</v>
      </c>
      <c r="I9" s="14">
        <v>115000</v>
      </c>
      <c r="J9" s="14">
        <v>120000</v>
      </c>
      <c r="K9" s="14">
        <v>130000</v>
      </c>
      <c r="L9" s="14">
        <v>140000</v>
      </c>
      <c r="M9" s="81">
        <v>160000</v>
      </c>
      <c r="N9" s="14">
        <f t="shared" ref="N9:N12" si="16">B9*$N$6</f>
        <v>88000</v>
      </c>
      <c r="O9" s="14">
        <f t="shared" ref="O9:O12" si="17">C9*$N$6</f>
        <v>93500.000000000015</v>
      </c>
      <c r="P9" s="14">
        <f t="shared" ref="P9:P12" si="18">D9*$N$6</f>
        <v>99000.000000000015</v>
      </c>
      <c r="Q9" s="14">
        <f t="shared" ref="Q9:Q12" si="19">E9*$N$6</f>
        <v>104500.00000000001</v>
      </c>
      <c r="R9" s="14">
        <f t="shared" ref="R9:R12" si="20">F9*$N$6</f>
        <v>110000.00000000001</v>
      </c>
      <c r="S9" s="14">
        <f t="shared" ref="S9:S12" si="21">G9*$N$6</f>
        <v>115500.00000000001</v>
      </c>
      <c r="T9" s="14">
        <f t="shared" ref="T9:T12" si="22">H9*$N$6</f>
        <v>121000.00000000001</v>
      </c>
      <c r="U9" s="14">
        <f t="shared" ref="U9:U12" si="23">I9*$N$6</f>
        <v>126500.00000000001</v>
      </c>
      <c r="V9" s="14">
        <f t="shared" ref="V9:V12" si="24">J9*$N$6</f>
        <v>132000</v>
      </c>
      <c r="W9" s="14">
        <f t="shared" ref="W9:W12" si="25">K9*$N$6</f>
        <v>143000</v>
      </c>
      <c r="X9" s="14">
        <f t="shared" ref="X9:X12" si="26">L9*$N$6</f>
        <v>154000</v>
      </c>
      <c r="Y9" s="81">
        <f t="shared" ref="Y9:Y12" si="27">M9*$N$6</f>
        <v>176000</v>
      </c>
      <c r="Z9" s="14">
        <f t="shared" ref="Z9:Z12" si="28">N9*$N$6</f>
        <v>96800.000000000015</v>
      </c>
      <c r="AA9" s="14">
        <f t="shared" si="5"/>
        <v>102850.00000000003</v>
      </c>
      <c r="AB9" s="14">
        <f t="shared" si="6"/>
        <v>108900.00000000003</v>
      </c>
      <c r="AC9" s="14">
        <f t="shared" si="7"/>
        <v>114950.00000000003</v>
      </c>
      <c r="AD9" s="14">
        <f t="shared" si="8"/>
        <v>121000.00000000003</v>
      </c>
      <c r="AE9" s="14">
        <f t="shared" si="9"/>
        <v>127050.00000000003</v>
      </c>
      <c r="AF9" s="14">
        <f t="shared" si="10"/>
        <v>133100.00000000003</v>
      </c>
      <c r="AG9" s="14">
        <f t="shared" si="11"/>
        <v>139150.00000000003</v>
      </c>
      <c r="AH9" s="14">
        <f t="shared" si="12"/>
        <v>145200</v>
      </c>
      <c r="AI9" s="14">
        <f t="shared" si="13"/>
        <v>157300</v>
      </c>
      <c r="AJ9" s="14">
        <f t="shared" si="14"/>
        <v>169400</v>
      </c>
      <c r="AK9" s="14">
        <f t="shared" si="15"/>
        <v>193600.00000000003</v>
      </c>
    </row>
    <row r="10" spans="1:37" x14ac:dyDescent="0.25">
      <c r="A10" s="1" t="s">
        <v>18</v>
      </c>
      <c r="B10" s="14">
        <v>120000</v>
      </c>
      <c r="C10" s="14">
        <v>125000</v>
      </c>
      <c r="D10" s="14">
        <v>130000</v>
      </c>
      <c r="E10" s="14">
        <v>140000</v>
      </c>
      <c r="F10" s="14">
        <v>150000</v>
      </c>
      <c r="G10" s="14">
        <v>155000</v>
      </c>
      <c r="H10" s="14">
        <v>160000</v>
      </c>
      <c r="I10" s="14">
        <v>165000</v>
      </c>
      <c r="J10" s="14">
        <v>170000</v>
      </c>
      <c r="K10" s="14">
        <v>180000</v>
      </c>
      <c r="L10" s="14">
        <v>200000</v>
      </c>
      <c r="M10" s="81">
        <v>220000</v>
      </c>
      <c r="N10" s="14">
        <f t="shared" si="16"/>
        <v>132000</v>
      </c>
      <c r="O10" s="14">
        <f t="shared" si="17"/>
        <v>137500</v>
      </c>
      <c r="P10" s="14">
        <f t="shared" si="18"/>
        <v>143000</v>
      </c>
      <c r="Q10" s="14">
        <f t="shared" si="19"/>
        <v>154000</v>
      </c>
      <c r="R10" s="14">
        <f t="shared" si="20"/>
        <v>165000</v>
      </c>
      <c r="S10" s="14">
        <f t="shared" si="21"/>
        <v>170500</v>
      </c>
      <c r="T10" s="14">
        <f t="shared" si="22"/>
        <v>176000</v>
      </c>
      <c r="U10" s="14">
        <f t="shared" si="23"/>
        <v>181500.00000000003</v>
      </c>
      <c r="V10" s="14">
        <f t="shared" si="24"/>
        <v>187000.00000000003</v>
      </c>
      <c r="W10" s="14">
        <f t="shared" si="25"/>
        <v>198000.00000000003</v>
      </c>
      <c r="X10" s="14">
        <f t="shared" si="26"/>
        <v>220000.00000000003</v>
      </c>
      <c r="Y10" s="81">
        <f t="shared" si="27"/>
        <v>242000.00000000003</v>
      </c>
      <c r="Z10" s="14">
        <f t="shared" si="28"/>
        <v>145200</v>
      </c>
      <c r="AA10" s="14">
        <f t="shared" si="5"/>
        <v>151250</v>
      </c>
      <c r="AB10" s="14">
        <f t="shared" si="6"/>
        <v>157300</v>
      </c>
      <c r="AC10" s="14">
        <f t="shared" si="7"/>
        <v>169400</v>
      </c>
      <c r="AD10" s="14">
        <f t="shared" si="8"/>
        <v>181500.00000000003</v>
      </c>
      <c r="AE10" s="14">
        <f t="shared" si="9"/>
        <v>187550.00000000003</v>
      </c>
      <c r="AF10" s="14">
        <f t="shared" si="10"/>
        <v>193600.00000000003</v>
      </c>
      <c r="AG10" s="14">
        <f t="shared" si="11"/>
        <v>199650.00000000006</v>
      </c>
      <c r="AH10" s="14">
        <f t="shared" si="12"/>
        <v>205700.00000000006</v>
      </c>
      <c r="AI10" s="14">
        <f t="shared" si="13"/>
        <v>217800.00000000006</v>
      </c>
      <c r="AJ10" s="14">
        <f t="shared" si="14"/>
        <v>242000.00000000006</v>
      </c>
      <c r="AK10" s="14">
        <f t="shared" si="15"/>
        <v>266200.00000000006</v>
      </c>
    </row>
    <row r="11" spans="1:37" x14ac:dyDescent="0.25">
      <c r="A11" s="1" t="s">
        <v>19</v>
      </c>
      <c r="B11" s="14">
        <v>180000</v>
      </c>
      <c r="C11" s="14">
        <v>190000</v>
      </c>
      <c r="D11" s="14">
        <v>210000</v>
      </c>
      <c r="E11" s="14">
        <v>220000</v>
      </c>
      <c r="F11" s="14">
        <v>230000</v>
      </c>
      <c r="G11" s="14">
        <v>240000</v>
      </c>
      <c r="H11" s="14">
        <v>250000</v>
      </c>
      <c r="I11" s="14">
        <v>260000</v>
      </c>
      <c r="J11" s="14">
        <v>270000</v>
      </c>
      <c r="K11" s="14">
        <v>280000</v>
      </c>
      <c r="L11" s="14">
        <v>300000</v>
      </c>
      <c r="M11" s="81">
        <v>350000</v>
      </c>
      <c r="N11" s="14">
        <f t="shared" si="16"/>
        <v>198000.00000000003</v>
      </c>
      <c r="O11" s="14">
        <f t="shared" si="17"/>
        <v>209000.00000000003</v>
      </c>
      <c r="P11" s="14">
        <f t="shared" si="18"/>
        <v>231000.00000000003</v>
      </c>
      <c r="Q11" s="14">
        <f t="shared" si="19"/>
        <v>242000.00000000003</v>
      </c>
      <c r="R11" s="14">
        <f t="shared" si="20"/>
        <v>253000.00000000003</v>
      </c>
      <c r="S11" s="14">
        <f t="shared" si="21"/>
        <v>264000</v>
      </c>
      <c r="T11" s="14">
        <f t="shared" si="22"/>
        <v>275000</v>
      </c>
      <c r="U11" s="14">
        <f t="shared" si="23"/>
        <v>286000</v>
      </c>
      <c r="V11" s="14">
        <f t="shared" si="24"/>
        <v>297000</v>
      </c>
      <c r="W11" s="14">
        <f t="shared" si="25"/>
        <v>308000</v>
      </c>
      <c r="X11" s="14">
        <f t="shared" si="26"/>
        <v>330000</v>
      </c>
      <c r="Y11" s="81">
        <f t="shared" si="27"/>
        <v>385000.00000000006</v>
      </c>
      <c r="Z11" s="14">
        <f t="shared" si="28"/>
        <v>217800.00000000006</v>
      </c>
      <c r="AA11" s="14">
        <f t="shared" si="5"/>
        <v>229900.00000000006</v>
      </c>
      <c r="AB11" s="14">
        <f t="shared" si="6"/>
        <v>254100.00000000006</v>
      </c>
      <c r="AC11" s="14">
        <f t="shared" si="7"/>
        <v>266200.00000000006</v>
      </c>
      <c r="AD11" s="14">
        <f t="shared" si="8"/>
        <v>278300.00000000006</v>
      </c>
      <c r="AE11" s="14">
        <f t="shared" si="9"/>
        <v>290400</v>
      </c>
      <c r="AF11" s="14">
        <f t="shared" si="10"/>
        <v>302500</v>
      </c>
      <c r="AG11" s="14">
        <f t="shared" si="11"/>
        <v>314600</v>
      </c>
      <c r="AH11" s="14">
        <f t="shared" si="12"/>
        <v>326700</v>
      </c>
      <c r="AI11" s="14">
        <f t="shared" si="13"/>
        <v>338800</v>
      </c>
      <c r="AJ11" s="14">
        <f t="shared" si="14"/>
        <v>363000.00000000006</v>
      </c>
      <c r="AK11" s="14">
        <f t="shared" si="15"/>
        <v>423500.00000000012</v>
      </c>
    </row>
    <row r="12" spans="1:37" ht="14.25" customHeight="1" x14ac:dyDescent="0.25">
      <c r="A12" s="1" t="s">
        <v>20</v>
      </c>
      <c r="B12" s="14">
        <v>100000</v>
      </c>
      <c r="C12" s="14">
        <v>105000</v>
      </c>
      <c r="D12" s="14">
        <v>110000</v>
      </c>
      <c r="E12" s="14">
        <v>120000</v>
      </c>
      <c r="F12" s="14">
        <v>130000</v>
      </c>
      <c r="G12" s="14">
        <v>135000</v>
      </c>
      <c r="H12" s="14">
        <v>140000</v>
      </c>
      <c r="I12" s="14">
        <v>145000</v>
      </c>
      <c r="J12" s="14">
        <v>150000</v>
      </c>
      <c r="K12" s="14">
        <v>160000</v>
      </c>
      <c r="L12" s="14">
        <v>180000</v>
      </c>
      <c r="M12" s="81">
        <v>200000</v>
      </c>
      <c r="N12" s="14">
        <f t="shared" si="16"/>
        <v>110000.00000000001</v>
      </c>
      <c r="O12" s="14">
        <f t="shared" si="17"/>
        <v>115500.00000000001</v>
      </c>
      <c r="P12" s="14">
        <f t="shared" si="18"/>
        <v>121000.00000000001</v>
      </c>
      <c r="Q12" s="14">
        <f t="shared" si="19"/>
        <v>132000</v>
      </c>
      <c r="R12" s="14">
        <f t="shared" si="20"/>
        <v>143000</v>
      </c>
      <c r="S12" s="14">
        <f t="shared" si="21"/>
        <v>148500</v>
      </c>
      <c r="T12" s="14">
        <f t="shared" si="22"/>
        <v>154000</v>
      </c>
      <c r="U12" s="14">
        <f t="shared" si="23"/>
        <v>159500</v>
      </c>
      <c r="V12" s="14">
        <f t="shared" si="24"/>
        <v>165000</v>
      </c>
      <c r="W12" s="14">
        <f t="shared" si="25"/>
        <v>176000</v>
      </c>
      <c r="X12" s="14">
        <f t="shared" si="26"/>
        <v>198000.00000000003</v>
      </c>
      <c r="Y12" s="81">
        <f t="shared" si="27"/>
        <v>220000.00000000003</v>
      </c>
      <c r="Z12" s="14">
        <f t="shared" si="28"/>
        <v>121000.00000000003</v>
      </c>
      <c r="AA12" s="14">
        <f t="shared" si="5"/>
        <v>127050.00000000003</v>
      </c>
      <c r="AB12" s="14">
        <f t="shared" si="6"/>
        <v>133100.00000000003</v>
      </c>
      <c r="AC12" s="14">
        <f t="shared" si="7"/>
        <v>145200</v>
      </c>
      <c r="AD12" s="14">
        <f t="shared" si="8"/>
        <v>157300</v>
      </c>
      <c r="AE12" s="14">
        <f t="shared" si="9"/>
        <v>163350</v>
      </c>
      <c r="AF12" s="14">
        <f t="shared" si="10"/>
        <v>169400</v>
      </c>
      <c r="AG12" s="14">
        <f t="shared" si="11"/>
        <v>175450</v>
      </c>
      <c r="AH12" s="14">
        <f t="shared" si="12"/>
        <v>181500.00000000003</v>
      </c>
      <c r="AI12" s="14">
        <f t="shared" si="13"/>
        <v>193600.00000000003</v>
      </c>
      <c r="AJ12" s="14">
        <f t="shared" si="14"/>
        <v>217800.00000000006</v>
      </c>
      <c r="AK12" s="14">
        <f t="shared" si="15"/>
        <v>242000.00000000006</v>
      </c>
    </row>
    <row r="13" spans="1:37" x14ac:dyDescent="0.25">
      <c r="A13" s="1"/>
      <c r="B13" s="14"/>
      <c r="C13" s="14"/>
      <c r="D13" s="14"/>
      <c r="E13" s="14"/>
      <c r="F13" s="14"/>
      <c r="G13" s="14"/>
      <c r="H13" s="14"/>
      <c r="I13" s="14"/>
      <c r="J13" s="14"/>
      <c r="K13" s="14"/>
      <c r="L13" s="14"/>
      <c r="M13" s="81"/>
      <c r="N13" s="108">
        <f>N6</f>
        <v>1.1000000000000001</v>
      </c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81"/>
      <c r="Z13" s="108">
        <f>Z6</f>
        <v>1.1000000000000001</v>
      </c>
      <c r="AA13" s="14"/>
      <c r="AB13" s="14"/>
      <c r="AC13" s="14"/>
      <c r="AD13" s="14"/>
      <c r="AE13" s="14"/>
      <c r="AF13" s="14"/>
      <c r="AG13" s="14"/>
      <c r="AH13" s="14"/>
      <c r="AI13" s="14"/>
      <c r="AJ13" s="14"/>
      <c r="AK13" s="81"/>
    </row>
    <row r="14" spans="1:37" x14ac:dyDescent="0.25">
      <c r="A14" s="92" t="s">
        <v>21</v>
      </c>
      <c r="B14" s="11">
        <f>SUM(B15:B17)</f>
        <v>550000</v>
      </c>
      <c r="C14" s="11">
        <f t="shared" ref="C14:M14" si="29">SUM(C15:C17)</f>
        <v>580000</v>
      </c>
      <c r="D14" s="11">
        <f t="shared" si="29"/>
        <v>620000</v>
      </c>
      <c r="E14" s="11">
        <f t="shared" si="29"/>
        <v>660000</v>
      </c>
      <c r="F14" s="11">
        <f t="shared" si="29"/>
        <v>700000</v>
      </c>
      <c r="G14" s="11">
        <f t="shared" si="29"/>
        <v>730000</v>
      </c>
      <c r="H14" s="11">
        <f t="shared" si="29"/>
        <v>760000</v>
      </c>
      <c r="I14" s="11">
        <f t="shared" si="29"/>
        <v>790000</v>
      </c>
      <c r="J14" s="11">
        <f t="shared" si="29"/>
        <v>820000</v>
      </c>
      <c r="K14" s="11">
        <f t="shared" si="29"/>
        <v>870000</v>
      </c>
      <c r="L14" s="11">
        <f t="shared" si="29"/>
        <v>950000</v>
      </c>
      <c r="M14" s="80">
        <f t="shared" si="29"/>
        <v>1080000</v>
      </c>
      <c r="N14" s="11">
        <f>SUM(N15:N17)</f>
        <v>605000</v>
      </c>
      <c r="O14" s="11">
        <f t="shared" ref="O14:X14" si="30">SUM(O15:O17)</f>
        <v>638000</v>
      </c>
      <c r="P14" s="11">
        <f t="shared" si="30"/>
        <v>682000</v>
      </c>
      <c r="Q14" s="11">
        <f t="shared" si="30"/>
        <v>726000.00000000012</v>
      </c>
      <c r="R14" s="11">
        <f t="shared" si="30"/>
        <v>770000.00000000012</v>
      </c>
      <c r="S14" s="11">
        <f t="shared" si="30"/>
        <v>803000.00000000012</v>
      </c>
      <c r="T14" s="11">
        <f t="shared" si="30"/>
        <v>836000.00000000012</v>
      </c>
      <c r="U14" s="11">
        <f t="shared" si="30"/>
        <v>869000.00000000012</v>
      </c>
      <c r="V14" s="11">
        <f t="shared" si="30"/>
        <v>902000</v>
      </c>
      <c r="W14" s="11">
        <f t="shared" si="30"/>
        <v>957000</v>
      </c>
      <c r="X14" s="11">
        <f t="shared" si="30"/>
        <v>1045000</v>
      </c>
      <c r="Y14" s="80">
        <f>SUM(Y15:Y17)</f>
        <v>1188000</v>
      </c>
      <c r="Z14" s="11">
        <f>SUM(Z15:Z17)</f>
        <v>665500</v>
      </c>
      <c r="AA14" s="11">
        <f t="shared" ref="AA14:AJ14" si="31">SUM(AA15:AA17)</f>
        <v>701800</v>
      </c>
      <c r="AB14" s="11">
        <f t="shared" si="31"/>
        <v>750200.00000000012</v>
      </c>
      <c r="AC14" s="11">
        <f t="shared" si="31"/>
        <v>798600.00000000023</v>
      </c>
      <c r="AD14" s="11">
        <f t="shared" si="31"/>
        <v>847000.00000000023</v>
      </c>
      <c r="AE14" s="11">
        <f t="shared" si="31"/>
        <v>883300.00000000023</v>
      </c>
      <c r="AF14" s="11">
        <f t="shared" si="31"/>
        <v>919600.00000000023</v>
      </c>
      <c r="AG14" s="11">
        <f t="shared" si="31"/>
        <v>955900.00000000023</v>
      </c>
      <c r="AH14" s="11">
        <f t="shared" si="31"/>
        <v>992200.00000000023</v>
      </c>
      <c r="AI14" s="11">
        <f t="shared" si="31"/>
        <v>1052700.0000000002</v>
      </c>
      <c r="AJ14" s="11">
        <f t="shared" si="31"/>
        <v>1149500.0000000002</v>
      </c>
      <c r="AK14" s="80">
        <f>SUM(AK15:AK17)</f>
        <v>1306800</v>
      </c>
    </row>
    <row r="15" spans="1:37" x14ac:dyDescent="0.25">
      <c r="A15" s="1" t="s">
        <v>22</v>
      </c>
      <c r="B15" s="14">
        <v>275000</v>
      </c>
      <c r="C15" s="14">
        <v>290000</v>
      </c>
      <c r="D15" s="14">
        <v>310000</v>
      </c>
      <c r="E15" s="14">
        <v>330000</v>
      </c>
      <c r="F15" s="14">
        <v>350000</v>
      </c>
      <c r="G15" s="14">
        <v>365000</v>
      </c>
      <c r="H15" s="14">
        <v>380000</v>
      </c>
      <c r="I15" s="14">
        <v>395000</v>
      </c>
      <c r="J15" s="14">
        <v>410000</v>
      </c>
      <c r="K15" s="14">
        <v>435000</v>
      </c>
      <c r="L15" s="14">
        <v>475000</v>
      </c>
      <c r="M15" s="81">
        <v>540000</v>
      </c>
      <c r="N15" s="14">
        <f>B15*$N$13</f>
        <v>302500</v>
      </c>
      <c r="O15" s="14">
        <f t="shared" ref="O15:Y17" si="32">C15*$N$13</f>
        <v>319000</v>
      </c>
      <c r="P15" s="14">
        <f t="shared" si="32"/>
        <v>341000</v>
      </c>
      <c r="Q15" s="14">
        <f t="shared" si="32"/>
        <v>363000.00000000006</v>
      </c>
      <c r="R15" s="14">
        <f t="shared" si="32"/>
        <v>385000.00000000006</v>
      </c>
      <c r="S15" s="14">
        <f t="shared" si="32"/>
        <v>401500.00000000006</v>
      </c>
      <c r="T15" s="14">
        <f t="shared" si="32"/>
        <v>418000.00000000006</v>
      </c>
      <c r="U15" s="14">
        <f t="shared" si="32"/>
        <v>434500.00000000006</v>
      </c>
      <c r="V15" s="14">
        <f t="shared" si="32"/>
        <v>451000.00000000006</v>
      </c>
      <c r="W15" s="14">
        <f t="shared" si="32"/>
        <v>478500.00000000006</v>
      </c>
      <c r="X15" s="14">
        <f t="shared" si="32"/>
        <v>522500.00000000006</v>
      </c>
      <c r="Y15" s="81">
        <f t="shared" si="32"/>
        <v>594000</v>
      </c>
      <c r="Z15" s="14">
        <f>N15*$Z$13</f>
        <v>332750</v>
      </c>
      <c r="AA15" s="14">
        <f t="shared" ref="AA15:AA17" si="33">O15*$N$13</f>
        <v>350900</v>
      </c>
      <c r="AB15" s="14">
        <f t="shared" ref="AB15:AB17" si="34">P15*$N$13</f>
        <v>375100.00000000006</v>
      </c>
      <c r="AC15" s="14">
        <f t="shared" ref="AC15:AC17" si="35">Q15*$N$13</f>
        <v>399300.00000000012</v>
      </c>
      <c r="AD15" s="14">
        <f t="shared" ref="AD15:AD17" si="36">R15*$N$13</f>
        <v>423500.00000000012</v>
      </c>
      <c r="AE15" s="14">
        <f t="shared" ref="AE15:AE17" si="37">S15*$N$13</f>
        <v>441650.00000000012</v>
      </c>
      <c r="AF15" s="14">
        <f t="shared" ref="AF15:AF17" si="38">T15*$N$13</f>
        <v>459800.00000000012</v>
      </c>
      <c r="AG15" s="14">
        <f t="shared" ref="AG15:AG17" si="39">U15*$N$13</f>
        <v>477950.00000000012</v>
      </c>
      <c r="AH15" s="14">
        <f t="shared" ref="AH15:AH17" si="40">V15*$N$13</f>
        <v>496100.00000000012</v>
      </c>
      <c r="AI15" s="14">
        <f t="shared" ref="AI15:AI17" si="41">W15*$N$13</f>
        <v>526350.00000000012</v>
      </c>
      <c r="AJ15" s="14">
        <f t="shared" ref="AJ15:AJ17" si="42">X15*$N$13</f>
        <v>574750.00000000012</v>
      </c>
      <c r="AK15" s="14">
        <f t="shared" ref="AK15:AK17" si="43">Y15*$N$13</f>
        <v>653400</v>
      </c>
    </row>
    <row r="16" spans="1:37" x14ac:dyDescent="0.25">
      <c r="A16" s="1" t="s">
        <v>23</v>
      </c>
      <c r="B16" s="14">
        <v>165000</v>
      </c>
      <c r="C16" s="14">
        <v>174000</v>
      </c>
      <c r="D16" s="14">
        <v>186000</v>
      </c>
      <c r="E16" s="14">
        <v>198000</v>
      </c>
      <c r="F16" s="14">
        <v>210000</v>
      </c>
      <c r="G16" s="14">
        <v>219000</v>
      </c>
      <c r="H16" s="14">
        <v>228000</v>
      </c>
      <c r="I16" s="14">
        <v>237000</v>
      </c>
      <c r="J16" s="14">
        <v>246000</v>
      </c>
      <c r="K16" s="14">
        <v>261000</v>
      </c>
      <c r="L16" s="14">
        <v>285000</v>
      </c>
      <c r="M16" s="81">
        <v>324000</v>
      </c>
      <c r="N16" s="14">
        <f t="shared" ref="N16:N17" si="44">B16*$N$13</f>
        <v>181500.00000000003</v>
      </c>
      <c r="O16" s="14">
        <f t="shared" si="32"/>
        <v>191400.00000000003</v>
      </c>
      <c r="P16" s="14">
        <f t="shared" si="32"/>
        <v>204600.00000000003</v>
      </c>
      <c r="Q16" s="14">
        <f t="shared" si="32"/>
        <v>217800.00000000003</v>
      </c>
      <c r="R16" s="14">
        <f t="shared" si="32"/>
        <v>231000.00000000003</v>
      </c>
      <c r="S16" s="14">
        <f t="shared" si="32"/>
        <v>240900.00000000003</v>
      </c>
      <c r="T16" s="14">
        <f t="shared" si="32"/>
        <v>250800.00000000003</v>
      </c>
      <c r="U16" s="14">
        <f t="shared" si="32"/>
        <v>260700.00000000003</v>
      </c>
      <c r="V16" s="14">
        <f t="shared" si="32"/>
        <v>270600</v>
      </c>
      <c r="W16" s="14">
        <f t="shared" si="32"/>
        <v>287100</v>
      </c>
      <c r="X16" s="14">
        <f t="shared" si="32"/>
        <v>313500</v>
      </c>
      <c r="Y16" s="81">
        <f t="shared" si="32"/>
        <v>356400</v>
      </c>
      <c r="Z16" s="14">
        <f t="shared" ref="Z16:Z17" si="45">N16*$N$13</f>
        <v>199650.00000000006</v>
      </c>
      <c r="AA16" s="14">
        <f t="shared" si="33"/>
        <v>210540.00000000006</v>
      </c>
      <c r="AB16" s="14">
        <f t="shared" si="34"/>
        <v>225060.00000000006</v>
      </c>
      <c r="AC16" s="14">
        <f t="shared" si="35"/>
        <v>239580.00000000006</v>
      </c>
      <c r="AD16" s="14">
        <f t="shared" si="36"/>
        <v>254100.00000000006</v>
      </c>
      <c r="AE16" s="14">
        <f t="shared" si="37"/>
        <v>264990.00000000006</v>
      </c>
      <c r="AF16" s="14">
        <f t="shared" si="38"/>
        <v>275880.00000000006</v>
      </c>
      <c r="AG16" s="14">
        <f t="shared" si="39"/>
        <v>286770.00000000006</v>
      </c>
      <c r="AH16" s="14">
        <f t="shared" si="40"/>
        <v>297660</v>
      </c>
      <c r="AI16" s="14">
        <f t="shared" si="41"/>
        <v>315810</v>
      </c>
      <c r="AJ16" s="14">
        <f t="shared" si="42"/>
        <v>344850</v>
      </c>
      <c r="AK16" s="14">
        <f t="shared" si="43"/>
        <v>392040.00000000006</v>
      </c>
    </row>
    <row r="17" spans="1:37" x14ac:dyDescent="0.25">
      <c r="A17" s="1" t="s">
        <v>24</v>
      </c>
      <c r="B17" s="14">
        <v>110000</v>
      </c>
      <c r="C17" s="14">
        <v>116000</v>
      </c>
      <c r="D17" s="14">
        <v>124000</v>
      </c>
      <c r="E17" s="14">
        <v>132000</v>
      </c>
      <c r="F17" s="14">
        <v>140000</v>
      </c>
      <c r="G17" s="14">
        <v>146000</v>
      </c>
      <c r="H17" s="14">
        <v>152000</v>
      </c>
      <c r="I17" s="14">
        <v>158000</v>
      </c>
      <c r="J17" s="14">
        <v>164000</v>
      </c>
      <c r="K17" s="14">
        <v>174000</v>
      </c>
      <c r="L17" s="14">
        <v>190000</v>
      </c>
      <c r="M17" s="81">
        <v>216000</v>
      </c>
      <c r="N17" s="14">
        <f t="shared" si="44"/>
        <v>121000.00000000001</v>
      </c>
      <c r="O17" s="14">
        <f t="shared" si="32"/>
        <v>127600.00000000001</v>
      </c>
      <c r="P17" s="14">
        <f t="shared" si="32"/>
        <v>136400</v>
      </c>
      <c r="Q17" s="14">
        <f t="shared" si="32"/>
        <v>145200</v>
      </c>
      <c r="R17" s="14">
        <f t="shared" si="32"/>
        <v>154000</v>
      </c>
      <c r="S17" s="14">
        <f t="shared" si="32"/>
        <v>160600</v>
      </c>
      <c r="T17" s="14">
        <f t="shared" si="32"/>
        <v>167200</v>
      </c>
      <c r="U17" s="14">
        <f t="shared" si="32"/>
        <v>173800</v>
      </c>
      <c r="V17" s="14">
        <f t="shared" si="32"/>
        <v>180400.00000000003</v>
      </c>
      <c r="W17" s="14">
        <f t="shared" si="32"/>
        <v>191400.00000000003</v>
      </c>
      <c r="X17" s="14">
        <f t="shared" si="32"/>
        <v>209000.00000000003</v>
      </c>
      <c r="Y17" s="81">
        <f t="shared" si="32"/>
        <v>237600.00000000003</v>
      </c>
      <c r="Z17" s="14">
        <f t="shared" si="45"/>
        <v>133100.00000000003</v>
      </c>
      <c r="AA17" s="14">
        <f t="shared" si="33"/>
        <v>140360.00000000003</v>
      </c>
      <c r="AB17" s="14">
        <f t="shared" si="34"/>
        <v>150040</v>
      </c>
      <c r="AC17" s="14">
        <f t="shared" si="35"/>
        <v>159720</v>
      </c>
      <c r="AD17" s="14">
        <f t="shared" si="36"/>
        <v>169400</v>
      </c>
      <c r="AE17" s="14">
        <f t="shared" si="37"/>
        <v>176660</v>
      </c>
      <c r="AF17" s="14">
        <f t="shared" si="38"/>
        <v>183920.00000000003</v>
      </c>
      <c r="AG17" s="14">
        <f t="shared" si="39"/>
        <v>191180.00000000003</v>
      </c>
      <c r="AH17" s="14">
        <f t="shared" si="40"/>
        <v>198440.00000000006</v>
      </c>
      <c r="AI17" s="14">
        <f t="shared" si="41"/>
        <v>210540.00000000006</v>
      </c>
      <c r="AJ17" s="14">
        <f t="shared" si="42"/>
        <v>229900.00000000006</v>
      </c>
      <c r="AK17" s="14">
        <f t="shared" si="43"/>
        <v>261360.00000000006</v>
      </c>
    </row>
    <row r="18" spans="1:37" x14ac:dyDescent="0.25"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78"/>
      <c r="N18" s="111">
        <f>N6</f>
        <v>1.1000000000000001</v>
      </c>
      <c r="O18" s="8"/>
      <c r="P18" s="8"/>
      <c r="Q18" s="8"/>
      <c r="R18" s="8"/>
      <c r="S18" s="8"/>
      <c r="T18" s="8"/>
      <c r="U18" s="8"/>
      <c r="V18" s="8"/>
      <c r="W18" s="8"/>
      <c r="X18" s="8"/>
      <c r="Y18" s="78"/>
      <c r="Z18" s="111">
        <f>Z6</f>
        <v>1.1000000000000001</v>
      </c>
      <c r="AA18" s="8"/>
      <c r="AB18" s="8"/>
      <c r="AC18" s="8"/>
      <c r="AD18" s="8"/>
      <c r="AE18" s="8"/>
      <c r="AF18" s="8"/>
      <c r="AG18" s="8"/>
      <c r="AH18" s="8"/>
      <c r="AI18" s="8"/>
      <c r="AJ18" s="8"/>
      <c r="AK18" s="78"/>
    </row>
    <row r="19" spans="1:37" x14ac:dyDescent="0.25">
      <c r="A19" s="92" t="s">
        <v>25</v>
      </c>
      <c r="B19" s="11">
        <f>SUM(B20:B24)</f>
        <v>550000</v>
      </c>
      <c r="C19" s="11">
        <f t="shared" ref="C19:M19" si="46">SUM(C20:C24)</f>
        <v>580000</v>
      </c>
      <c r="D19" s="11">
        <f t="shared" si="46"/>
        <v>620000</v>
      </c>
      <c r="E19" s="11">
        <f t="shared" si="46"/>
        <v>660000</v>
      </c>
      <c r="F19" s="11">
        <f t="shared" si="46"/>
        <v>700000</v>
      </c>
      <c r="G19" s="11">
        <f t="shared" si="46"/>
        <v>730000</v>
      </c>
      <c r="H19" s="11">
        <f t="shared" si="46"/>
        <v>760000</v>
      </c>
      <c r="I19" s="11">
        <f t="shared" si="46"/>
        <v>790000</v>
      </c>
      <c r="J19" s="11">
        <f t="shared" si="46"/>
        <v>820000</v>
      </c>
      <c r="K19" s="11">
        <f t="shared" si="46"/>
        <v>870000</v>
      </c>
      <c r="L19" s="11">
        <f t="shared" si="46"/>
        <v>950000</v>
      </c>
      <c r="M19" s="80">
        <f t="shared" si="46"/>
        <v>1080000</v>
      </c>
      <c r="N19" s="11">
        <f>SUM(N20:N24)</f>
        <v>605000</v>
      </c>
      <c r="O19" s="11">
        <f t="shared" ref="O19:Y19" si="47">SUM(O20:O24)</f>
        <v>638000</v>
      </c>
      <c r="P19" s="11">
        <f t="shared" si="47"/>
        <v>682000</v>
      </c>
      <c r="Q19" s="11">
        <f t="shared" si="47"/>
        <v>726000.00000000012</v>
      </c>
      <c r="R19" s="11">
        <f t="shared" si="47"/>
        <v>770000.00000000012</v>
      </c>
      <c r="S19" s="11">
        <f t="shared" si="47"/>
        <v>803000.00000000012</v>
      </c>
      <c r="T19" s="11">
        <f t="shared" si="47"/>
        <v>836000.00000000012</v>
      </c>
      <c r="U19" s="11">
        <f t="shared" si="47"/>
        <v>869000.00000000012</v>
      </c>
      <c r="V19" s="11">
        <f t="shared" si="47"/>
        <v>902000</v>
      </c>
      <c r="W19" s="11">
        <f t="shared" si="47"/>
        <v>957000</v>
      </c>
      <c r="X19" s="11">
        <f t="shared" si="47"/>
        <v>1045000</v>
      </c>
      <c r="Y19" s="80">
        <f t="shared" si="47"/>
        <v>1188000</v>
      </c>
      <c r="Z19" s="11">
        <f>SUM(Z20:Z24)</f>
        <v>665500</v>
      </c>
      <c r="AA19" s="11">
        <f t="shared" ref="AA19:AK19" si="48">SUM(AA20:AA24)</f>
        <v>701800</v>
      </c>
      <c r="AB19" s="11">
        <f t="shared" si="48"/>
        <v>750200.00000000012</v>
      </c>
      <c r="AC19" s="11">
        <f t="shared" si="48"/>
        <v>798600.00000000023</v>
      </c>
      <c r="AD19" s="11">
        <f t="shared" si="48"/>
        <v>847000.00000000023</v>
      </c>
      <c r="AE19" s="11">
        <f t="shared" si="48"/>
        <v>883300.00000000023</v>
      </c>
      <c r="AF19" s="11">
        <f t="shared" si="48"/>
        <v>919600.00000000023</v>
      </c>
      <c r="AG19" s="11">
        <f t="shared" si="48"/>
        <v>955900.00000000023</v>
      </c>
      <c r="AH19" s="11">
        <f t="shared" si="48"/>
        <v>992200</v>
      </c>
      <c r="AI19" s="11">
        <f t="shared" si="48"/>
        <v>1052700</v>
      </c>
      <c r="AJ19" s="11">
        <f t="shared" si="48"/>
        <v>1149500</v>
      </c>
      <c r="AK19" s="80">
        <f t="shared" si="48"/>
        <v>1306800</v>
      </c>
    </row>
    <row r="20" spans="1:37" x14ac:dyDescent="0.25">
      <c r="A20" s="1" t="s">
        <v>130</v>
      </c>
      <c r="B20" s="14">
        <v>165000</v>
      </c>
      <c r="C20" s="14">
        <v>174000</v>
      </c>
      <c r="D20" s="14">
        <v>186000</v>
      </c>
      <c r="E20" s="14">
        <v>198000</v>
      </c>
      <c r="F20" s="14">
        <v>210000</v>
      </c>
      <c r="G20" s="14">
        <v>219000</v>
      </c>
      <c r="H20" s="14">
        <v>228000</v>
      </c>
      <c r="I20" s="14">
        <v>237000</v>
      </c>
      <c r="J20" s="14">
        <v>246000</v>
      </c>
      <c r="K20" s="14">
        <v>261000</v>
      </c>
      <c r="L20" s="14">
        <v>285000</v>
      </c>
      <c r="M20" s="81">
        <v>324000</v>
      </c>
      <c r="N20" s="14">
        <f>B20*$N$18</f>
        <v>181500.00000000003</v>
      </c>
      <c r="O20" s="14">
        <f t="shared" ref="O20:Y24" si="49">C20*$N$18</f>
        <v>191400.00000000003</v>
      </c>
      <c r="P20" s="14">
        <f t="shared" si="49"/>
        <v>204600.00000000003</v>
      </c>
      <c r="Q20" s="14">
        <f t="shared" si="49"/>
        <v>217800.00000000003</v>
      </c>
      <c r="R20" s="14">
        <f t="shared" si="49"/>
        <v>231000.00000000003</v>
      </c>
      <c r="S20" s="14">
        <f t="shared" si="49"/>
        <v>240900.00000000003</v>
      </c>
      <c r="T20" s="14">
        <f t="shared" si="49"/>
        <v>250800.00000000003</v>
      </c>
      <c r="U20" s="14">
        <f t="shared" si="49"/>
        <v>260700.00000000003</v>
      </c>
      <c r="V20" s="14">
        <f t="shared" si="49"/>
        <v>270600</v>
      </c>
      <c r="W20" s="14">
        <f t="shared" si="49"/>
        <v>287100</v>
      </c>
      <c r="X20" s="14">
        <f t="shared" si="49"/>
        <v>313500</v>
      </c>
      <c r="Y20" s="81">
        <f t="shared" si="49"/>
        <v>356400</v>
      </c>
      <c r="Z20" s="14">
        <f>N20*$Z$18</f>
        <v>199650.00000000006</v>
      </c>
      <c r="AA20" s="14">
        <f t="shared" ref="AA20:AA24" si="50">O20*$N$18</f>
        <v>210540.00000000006</v>
      </c>
      <c r="AB20" s="14">
        <f t="shared" ref="AB20:AB24" si="51">P20*$N$18</f>
        <v>225060.00000000006</v>
      </c>
      <c r="AC20" s="14">
        <f t="shared" ref="AC20:AC24" si="52">Q20*$N$18</f>
        <v>239580.00000000006</v>
      </c>
      <c r="AD20" s="14">
        <f t="shared" ref="AD20:AD24" si="53">R20*$N$18</f>
        <v>254100.00000000006</v>
      </c>
      <c r="AE20" s="14">
        <f t="shared" ref="AE20:AE24" si="54">S20*$N$18</f>
        <v>264990.00000000006</v>
      </c>
      <c r="AF20" s="14">
        <f t="shared" ref="AF20:AF24" si="55">T20*$N$18</f>
        <v>275880.00000000006</v>
      </c>
      <c r="AG20" s="14">
        <f t="shared" ref="AG20:AG24" si="56">U20*$N$18</f>
        <v>286770.00000000006</v>
      </c>
      <c r="AH20" s="14">
        <f t="shared" ref="AH20:AH24" si="57">V20*$N$18</f>
        <v>297660</v>
      </c>
      <c r="AI20" s="14">
        <f t="shared" ref="AI20:AI24" si="58">W20*$N$18</f>
        <v>315810</v>
      </c>
      <c r="AJ20" s="14">
        <f t="shared" ref="AJ20:AJ24" si="59">X20*$N$18</f>
        <v>344850</v>
      </c>
      <c r="AK20" s="14">
        <f t="shared" ref="AK20:AK24" si="60">Y20*$N$18</f>
        <v>392040.00000000006</v>
      </c>
    </row>
    <row r="21" spans="1:37" x14ac:dyDescent="0.25">
      <c r="A21" s="1" t="s">
        <v>131</v>
      </c>
      <c r="B21" s="14">
        <v>137500</v>
      </c>
      <c r="C21" s="14">
        <v>145000</v>
      </c>
      <c r="D21" s="14">
        <v>155000</v>
      </c>
      <c r="E21" s="14">
        <v>165000</v>
      </c>
      <c r="F21" s="14">
        <v>175000</v>
      </c>
      <c r="G21" s="14">
        <v>182500</v>
      </c>
      <c r="H21" s="14">
        <v>190000</v>
      </c>
      <c r="I21" s="14">
        <v>197500</v>
      </c>
      <c r="J21" s="14">
        <v>205000</v>
      </c>
      <c r="K21" s="14">
        <v>217500</v>
      </c>
      <c r="L21" s="14">
        <v>237500</v>
      </c>
      <c r="M21" s="81">
        <v>270000</v>
      </c>
      <c r="N21" s="14">
        <f t="shared" ref="N21:N24" si="61">B21*$N$18</f>
        <v>151250</v>
      </c>
      <c r="O21" s="14">
        <f t="shared" si="49"/>
        <v>159500</v>
      </c>
      <c r="P21" s="14">
        <f t="shared" si="49"/>
        <v>170500</v>
      </c>
      <c r="Q21" s="14">
        <f t="shared" si="49"/>
        <v>181500.00000000003</v>
      </c>
      <c r="R21" s="14">
        <f t="shared" si="49"/>
        <v>192500.00000000003</v>
      </c>
      <c r="S21" s="14">
        <f t="shared" si="49"/>
        <v>200750.00000000003</v>
      </c>
      <c r="T21" s="14">
        <f t="shared" si="49"/>
        <v>209000.00000000003</v>
      </c>
      <c r="U21" s="14">
        <f t="shared" si="49"/>
        <v>217250.00000000003</v>
      </c>
      <c r="V21" s="14">
        <f t="shared" si="49"/>
        <v>225500.00000000003</v>
      </c>
      <c r="W21" s="14">
        <f t="shared" si="49"/>
        <v>239250.00000000003</v>
      </c>
      <c r="X21" s="14">
        <f t="shared" si="49"/>
        <v>261250.00000000003</v>
      </c>
      <c r="Y21" s="81">
        <f t="shared" si="49"/>
        <v>297000</v>
      </c>
      <c r="Z21" s="14">
        <f t="shared" ref="Z21:Z24" si="62">N21*$N$18</f>
        <v>166375</v>
      </c>
      <c r="AA21" s="14">
        <f t="shared" si="50"/>
        <v>175450</v>
      </c>
      <c r="AB21" s="14">
        <f t="shared" si="51"/>
        <v>187550.00000000003</v>
      </c>
      <c r="AC21" s="14">
        <f t="shared" si="52"/>
        <v>199650.00000000006</v>
      </c>
      <c r="AD21" s="14">
        <f t="shared" si="53"/>
        <v>211750.00000000006</v>
      </c>
      <c r="AE21" s="14">
        <f t="shared" si="54"/>
        <v>220825.00000000006</v>
      </c>
      <c r="AF21" s="14">
        <f t="shared" si="55"/>
        <v>229900.00000000006</v>
      </c>
      <c r="AG21" s="14">
        <f t="shared" si="56"/>
        <v>238975.00000000006</v>
      </c>
      <c r="AH21" s="14">
        <f t="shared" si="57"/>
        <v>248050.00000000006</v>
      </c>
      <c r="AI21" s="14">
        <f t="shared" si="58"/>
        <v>263175.00000000006</v>
      </c>
      <c r="AJ21" s="14">
        <f t="shared" si="59"/>
        <v>287375.00000000006</v>
      </c>
      <c r="AK21" s="14">
        <f t="shared" si="60"/>
        <v>326700</v>
      </c>
    </row>
    <row r="22" spans="1:37" x14ac:dyDescent="0.25">
      <c r="A22" s="1" t="s">
        <v>132</v>
      </c>
      <c r="B22" s="14">
        <v>137500</v>
      </c>
      <c r="C22" s="14">
        <v>145000</v>
      </c>
      <c r="D22" s="14">
        <v>155000</v>
      </c>
      <c r="E22" s="14">
        <v>165000</v>
      </c>
      <c r="F22" s="14">
        <v>175000</v>
      </c>
      <c r="G22" s="14">
        <v>182500</v>
      </c>
      <c r="H22" s="14">
        <v>190000</v>
      </c>
      <c r="I22" s="14">
        <v>197500</v>
      </c>
      <c r="J22" s="14">
        <v>205000</v>
      </c>
      <c r="K22" s="14">
        <v>217500</v>
      </c>
      <c r="L22" s="14">
        <v>237500</v>
      </c>
      <c r="M22" s="81">
        <v>270000</v>
      </c>
      <c r="N22" s="14">
        <f t="shared" si="61"/>
        <v>151250</v>
      </c>
      <c r="O22" s="14">
        <f t="shared" si="49"/>
        <v>159500</v>
      </c>
      <c r="P22" s="14">
        <f t="shared" si="49"/>
        <v>170500</v>
      </c>
      <c r="Q22" s="14">
        <f t="shared" si="49"/>
        <v>181500.00000000003</v>
      </c>
      <c r="R22" s="14">
        <f t="shared" si="49"/>
        <v>192500.00000000003</v>
      </c>
      <c r="S22" s="14">
        <f t="shared" si="49"/>
        <v>200750.00000000003</v>
      </c>
      <c r="T22" s="14">
        <f t="shared" si="49"/>
        <v>209000.00000000003</v>
      </c>
      <c r="U22" s="14">
        <f t="shared" si="49"/>
        <v>217250.00000000003</v>
      </c>
      <c r="V22" s="14">
        <f t="shared" si="49"/>
        <v>225500.00000000003</v>
      </c>
      <c r="W22" s="14">
        <f t="shared" si="49"/>
        <v>239250.00000000003</v>
      </c>
      <c r="X22" s="14">
        <f t="shared" si="49"/>
        <v>261250.00000000003</v>
      </c>
      <c r="Y22" s="81">
        <f t="shared" si="49"/>
        <v>297000</v>
      </c>
      <c r="Z22" s="14">
        <f t="shared" si="62"/>
        <v>166375</v>
      </c>
      <c r="AA22" s="14">
        <f t="shared" si="50"/>
        <v>175450</v>
      </c>
      <c r="AB22" s="14">
        <f t="shared" si="51"/>
        <v>187550.00000000003</v>
      </c>
      <c r="AC22" s="14">
        <f t="shared" si="52"/>
        <v>199650.00000000006</v>
      </c>
      <c r="AD22" s="14">
        <f t="shared" si="53"/>
        <v>211750.00000000006</v>
      </c>
      <c r="AE22" s="14">
        <f t="shared" si="54"/>
        <v>220825.00000000006</v>
      </c>
      <c r="AF22" s="14">
        <f t="shared" si="55"/>
        <v>229900.00000000006</v>
      </c>
      <c r="AG22" s="14">
        <f t="shared" si="56"/>
        <v>238975.00000000006</v>
      </c>
      <c r="AH22" s="14">
        <f t="shared" si="57"/>
        <v>248050.00000000006</v>
      </c>
      <c r="AI22" s="14">
        <f t="shared" si="58"/>
        <v>263175.00000000006</v>
      </c>
      <c r="AJ22" s="14">
        <f t="shared" si="59"/>
        <v>287375.00000000006</v>
      </c>
      <c r="AK22" s="14">
        <f t="shared" si="60"/>
        <v>326700</v>
      </c>
    </row>
    <row r="23" spans="1:37" x14ac:dyDescent="0.25">
      <c r="A23" s="1" t="s">
        <v>133</v>
      </c>
      <c r="B23" s="14">
        <v>55000</v>
      </c>
      <c r="C23" s="14">
        <v>58000</v>
      </c>
      <c r="D23" s="14">
        <v>62000</v>
      </c>
      <c r="E23" s="14">
        <v>66000</v>
      </c>
      <c r="F23" s="14">
        <v>70000</v>
      </c>
      <c r="G23" s="14">
        <v>73000</v>
      </c>
      <c r="H23" s="14">
        <v>76000</v>
      </c>
      <c r="I23" s="14">
        <v>79000</v>
      </c>
      <c r="J23" s="14">
        <v>82000</v>
      </c>
      <c r="K23" s="14">
        <v>87000</v>
      </c>
      <c r="L23" s="14">
        <v>95000</v>
      </c>
      <c r="M23" s="81">
        <v>108000</v>
      </c>
      <c r="N23" s="14">
        <f t="shared" si="61"/>
        <v>60500.000000000007</v>
      </c>
      <c r="O23" s="14">
        <f t="shared" si="49"/>
        <v>63800.000000000007</v>
      </c>
      <c r="P23" s="14">
        <f t="shared" si="49"/>
        <v>68200</v>
      </c>
      <c r="Q23" s="14">
        <f t="shared" si="49"/>
        <v>72600</v>
      </c>
      <c r="R23" s="14">
        <f t="shared" si="49"/>
        <v>77000</v>
      </c>
      <c r="S23" s="14">
        <f t="shared" si="49"/>
        <v>80300</v>
      </c>
      <c r="T23" s="14">
        <f t="shared" si="49"/>
        <v>83600</v>
      </c>
      <c r="U23" s="14">
        <f t="shared" si="49"/>
        <v>86900</v>
      </c>
      <c r="V23" s="14">
        <f t="shared" si="49"/>
        <v>90200.000000000015</v>
      </c>
      <c r="W23" s="14">
        <f t="shared" si="49"/>
        <v>95700.000000000015</v>
      </c>
      <c r="X23" s="14">
        <f t="shared" si="49"/>
        <v>104500.00000000001</v>
      </c>
      <c r="Y23" s="81">
        <f t="shared" si="49"/>
        <v>118800.00000000001</v>
      </c>
      <c r="Z23" s="14">
        <f t="shared" si="62"/>
        <v>66550.000000000015</v>
      </c>
      <c r="AA23" s="14">
        <f t="shared" si="50"/>
        <v>70180.000000000015</v>
      </c>
      <c r="AB23" s="14">
        <f t="shared" si="51"/>
        <v>75020</v>
      </c>
      <c r="AC23" s="14">
        <f t="shared" si="52"/>
        <v>79860</v>
      </c>
      <c r="AD23" s="14">
        <f t="shared" si="53"/>
        <v>84700</v>
      </c>
      <c r="AE23" s="14">
        <f t="shared" si="54"/>
        <v>88330</v>
      </c>
      <c r="AF23" s="14">
        <f t="shared" si="55"/>
        <v>91960.000000000015</v>
      </c>
      <c r="AG23" s="14">
        <f t="shared" si="56"/>
        <v>95590.000000000015</v>
      </c>
      <c r="AH23" s="14">
        <f t="shared" si="57"/>
        <v>99220.000000000029</v>
      </c>
      <c r="AI23" s="14">
        <f t="shared" si="58"/>
        <v>105270.00000000003</v>
      </c>
      <c r="AJ23" s="14">
        <f t="shared" si="59"/>
        <v>114950.00000000003</v>
      </c>
      <c r="AK23" s="14">
        <f t="shared" si="60"/>
        <v>130680.00000000003</v>
      </c>
    </row>
    <row r="24" spans="1:37" x14ac:dyDescent="0.25">
      <c r="A24" s="1" t="s">
        <v>134</v>
      </c>
      <c r="B24" s="14">
        <v>55000</v>
      </c>
      <c r="C24" s="14">
        <v>58000</v>
      </c>
      <c r="D24" s="14">
        <v>62000</v>
      </c>
      <c r="E24" s="14">
        <v>66000</v>
      </c>
      <c r="F24" s="14">
        <v>70000</v>
      </c>
      <c r="G24" s="14">
        <v>73000</v>
      </c>
      <c r="H24" s="14">
        <v>76000</v>
      </c>
      <c r="I24" s="14">
        <v>79000</v>
      </c>
      <c r="J24" s="14">
        <v>82000</v>
      </c>
      <c r="K24" s="14">
        <v>87000</v>
      </c>
      <c r="L24" s="14">
        <v>95000</v>
      </c>
      <c r="M24" s="81">
        <v>108000</v>
      </c>
      <c r="N24" s="14">
        <f t="shared" si="61"/>
        <v>60500.000000000007</v>
      </c>
      <c r="O24" s="14">
        <f t="shared" si="49"/>
        <v>63800.000000000007</v>
      </c>
      <c r="P24" s="14">
        <f t="shared" si="49"/>
        <v>68200</v>
      </c>
      <c r="Q24" s="14">
        <f t="shared" si="49"/>
        <v>72600</v>
      </c>
      <c r="R24" s="14">
        <f t="shared" si="49"/>
        <v>77000</v>
      </c>
      <c r="S24" s="14">
        <f t="shared" si="49"/>
        <v>80300</v>
      </c>
      <c r="T24" s="14">
        <f t="shared" si="49"/>
        <v>83600</v>
      </c>
      <c r="U24" s="14">
        <f t="shared" si="49"/>
        <v>86900</v>
      </c>
      <c r="V24" s="14">
        <f t="shared" si="49"/>
        <v>90200.000000000015</v>
      </c>
      <c r="W24" s="14">
        <f t="shared" si="49"/>
        <v>95700.000000000015</v>
      </c>
      <c r="X24" s="14">
        <f t="shared" si="49"/>
        <v>104500.00000000001</v>
      </c>
      <c r="Y24" s="81">
        <f t="shared" si="49"/>
        <v>118800.00000000001</v>
      </c>
      <c r="Z24" s="14">
        <f t="shared" si="62"/>
        <v>66550.000000000015</v>
      </c>
      <c r="AA24" s="14">
        <f t="shared" si="50"/>
        <v>70180.000000000015</v>
      </c>
      <c r="AB24" s="14">
        <f t="shared" si="51"/>
        <v>75020</v>
      </c>
      <c r="AC24" s="14">
        <f t="shared" si="52"/>
        <v>79860</v>
      </c>
      <c r="AD24" s="14">
        <f t="shared" si="53"/>
        <v>84700</v>
      </c>
      <c r="AE24" s="14">
        <f t="shared" si="54"/>
        <v>88330</v>
      </c>
      <c r="AF24" s="14">
        <f t="shared" si="55"/>
        <v>91960.000000000015</v>
      </c>
      <c r="AG24" s="14">
        <f t="shared" si="56"/>
        <v>95590.000000000015</v>
      </c>
      <c r="AH24" s="14">
        <f t="shared" si="57"/>
        <v>99220.000000000029</v>
      </c>
      <c r="AI24" s="14">
        <f t="shared" si="58"/>
        <v>105270.00000000003</v>
      </c>
      <c r="AJ24" s="14">
        <f t="shared" si="59"/>
        <v>114950.00000000003</v>
      </c>
      <c r="AK24" s="14">
        <f t="shared" si="60"/>
        <v>130680.00000000003</v>
      </c>
    </row>
    <row r="25" spans="1:37" x14ac:dyDescent="0.25">
      <c r="A25" s="1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7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78"/>
      <c r="Z25" s="8"/>
      <c r="AA25" s="8"/>
      <c r="AB25" s="8"/>
      <c r="AC25" s="8"/>
      <c r="AD25" s="8"/>
      <c r="AE25" s="8"/>
      <c r="AF25" s="8"/>
      <c r="AG25" s="8"/>
      <c r="AH25" s="8"/>
      <c r="AI25" s="8"/>
      <c r="AJ25" s="8"/>
      <c r="AK25" s="78"/>
    </row>
    <row r="26" spans="1:37" x14ac:dyDescent="0.25">
      <c r="A26" s="26" t="s">
        <v>26</v>
      </c>
      <c r="B26" s="27">
        <f t="shared" ref="B26:AK26" si="63">SUM(B27:B27)</f>
        <v>0</v>
      </c>
      <c r="C26" s="27">
        <f t="shared" si="63"/>
        <v>0</v>
      </c>
      <c r="D26" s="27">
        <f t="shared" si="63"/>
        <v>0</v>
      </c>
      <c r="E26" s="27">
        <f t="shared" si="63"/>
        <v>0</v>
      </c>
      <c r="F26" s="27">
        <f t="shared" si="63"/>
        <v>0</v>
      </c>
      <c r="G26" s="27">
        <f t="shared" si="63"/>
        <v>0</v>
      </c>
      <c r="H26" s="27">
        <f t="shared" si="63"/>
        <v>0</v>
      </c>
      <c r="I26" s="27">
        <f t="shared" si="63"/>
        <v>0</v>
      </c>
      <c r="J26" s="27">
        <f t="shared" si="63"/>
        <v>0</v>
      </c>
      <c r="K26" s="27">
        <f t="shared" si="63"/>
        <v>0</v>
      </c>
      <c r="L26" s="27">
        <f t="shared" si="63"/>
        <v>0</v>
      </c>
      <c r="M26" s="82">
        <f t="shared" si="63"/>
        <v>0.43633578444444443</v>
      </c>
      <c r="N26" s="27">
        <f t="shared" si="63"/>
        <v>1.0900000000000001</v>
      </c>
      <c r="O26" s="27">
        <f t="shared" si="63"/>
        <v>0</v>
      </c>
      <c r="P26" s="27">
        <f t="shared" si="63"/>
        <v>0</v>
      </c>
      <c r="Q26" s="27">
        <f t="shared" si="63"/>
        <v>0</v>
      </c>
      <c r="R26" s="27">
        <f t="shared" si="63"/>
        <v>0</v>
      </c>
      <c r="S26" s="27">
        <f t="shared" si="63"/>
        <v>0</v>
      </c>
      <c r="T26" s="27">
        <f t="shared" si="63"/>
        <v>0</v>
      </c>
      <c r="U26" s="27">
        <f t="shared" si="63"/>
        <v>0</v>
      </c>
      <c r="V26" s="27">
        <f t="shared" si="63"/>
        <v>0</v>
      </c>
      <c r="W26" s="27">
        <f t="shared" si="63"/>
        <v>0</v>
      </c>
      <c r="X26" s="27">
        <f t="shared" si="63"/>
        <v>0</v>
      </c>
      <c r="Y26" s="82">
        <f t="shared" si="63"/>
        <v>0.43236909549494951</v>
      </c>
      <c r="Z26" s="27">
        <f t="shared" si="63"/>
        <v>1.0900000000000001</v>
      </c>
      <c r="AA26" s="27">
        <f t="shared" si="63"/>
        <v>0</v>
      </c>
      <c r="AB26" s="27">
        <f t="shared" si="63"/>
        <v>0</v>
      </c>
      <c r="AC26" s="27">
        <f t="shared" si="63"/>
        <v>0</v>
      </c>
      <c r="AD26" s="27">
        <f t="shared" si="63"/>
        <v>0</v>
      </c>
      <c r="AE26" s="27">
        <f t="shared" si="63"/>
        <v>0</v>
      </c>
      <c r="AF26" s="27">
        <f t="shared" si="63"/>
        <v>0</v>
      </c>
      <c r="AG26" s="27">
        <f t="shared" si="63"/>
        <v>0</v>
      </c>
      <c r="AH26" s="27">
        <f t="shared" si="63"/>
        <v>0</v>
      </c>
      <c r="AI26" s="27">
        <f t="shared" si="63"/>
        <v>0</v>
      </c>
      <c r="AJ26" s="27">
        <f t="shared" si="63"/>
        <v>0</v>
      </c>
      <c r="AK26" s="82">
        <f t="shared" si="63"/>
        <v>0.42843846735408631</v>
      </c>
    </row>
    <row r="27" spans="1:37" x14ac:dyDescent="0.25">
      <c r="A27" s="1"/>
      <c r="B27" s="14"/>
      <c r="C27" s="14"/>
      <c r="D27" s="14"/>
      <c r="E27" s="14"/>
      <c r="F27" s="14"/>
      <c r="G27" s="14"/>
      <c r="H27" s="14"/>
      <c r="I27" s="14"/>
      <c r="J27" s="14"/>
      <c r="K27" s="14"/>
      <c r="L27" s="14"/>
      <c r="M27" s="98">
        <f>M28/M5</f>
        <v>0.43633578444444443</v>
      </c>
      <c r="N27" s="96">
        <v>1.0900000000000001</v>
      </c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98">
        <f>Y28/Y5</f>
        <v>0.43236909549494951</v>
      </c>
      <c r="Z27" s="96">
        <v>1.0900000000000001</v>
      </c>
      <c r="AA27" s="14"/>
      <c r="AB27" s="14"/>
      <c r="AC27" s="14"/>
      <c r="AD27" s="14"/>
      <c r="AE27" s="14"/>
      <c r="AF27" s="14"/>
      <c r="AG27" s="14"/>
      <c r="AH27" s="14"/>
      <c r="AI27" s="14"/>
      <c r="AJ27" s="14"/>
      <c r="AK27" s="98">
        <f>AK28/AK5</f>
        <v>0.42843846735408631</v>
      </c>
    </row>
    <row r="28" spans="1:37" x14ac:dyDescent="0.25">
      <c r="A28" s="7" t="s">
        <v>28</v>
      </c>
      <c r="B28" s="10">
        <f>B31+B34+B37+B40+B43</f>
        <v>288794.27500000002</v>
      </c>
      <c r="C28" s="10">
        <f>C31+C34+C37+C40+C43</f>
        <v>300257.3</v>
      </c>
      <c r="D28" s="10">
        <f t="shared" ref="D28:M28" si="64">D31+D34+D37+D40+D43</f>
        <v>316379.49</v>
      </c>
      <c r="E28" s="10">
        <f t="shared" si="64"/>
        <v>327028.8492</v>
      </c>
      <c r="F28" s="10">
        <f t="shared" si="64"/>
        <v>341672.1</v>
      </c>
      <c r="G28" s="10">
        <f t="shared" si="64"/>
        <v>350916.47499999998</v>
      </c>
      <c r="H28" s="10">
        <f t="shared" si="64"/>
        <v>359717.12</v>
      </c>
      <c r="I28" s="10">
        <f t="shared" si="64"/>
        <v>368074.62620000006</v>
      </c>
      <c r="J28" s="10">
        <f t="shared" si="64"/>
        <v>375987.25</v>
      </c>
      <c r="K28" s="10">
        <f t="shared" si="64"/>
        <v>392479.18500000006</v>
      </c>
      <c r="L28" s="10">
        <f t="shared" si="64"/>
        <v>421543.5</v>
      </c>
      <c r="M28" s="79">
        <f t="shared" si="64"/>
        <v>471242.64720000001</v>
      </c>
      <c r="N28" s="10">
        <f>N31+N34+N37+N40+N43</f>
        <v>314785.75974999997</v>
      </c>
      <c r="O28" s="10">
        <f>O31+O34+O37+O40+O43</f>
        <v>327280.45700000005</v>
      </c>
      <c r="P28" s="10">
        <f t="shared" ref="P28:Y28" si="65">P31+P34+P37+P40+P43</f>
        <v>344853.64409999998</v>
      </c>
      <c r="Q28" s="10">
        <f t="shared" si="65"/>
        <v>356461.44562800002</v>
      </c>
      <c r="R28" s="10">
        <f t="shared" si="65"/>
        <v>372422.58900000004</v>
      </c>
      <c r="S28" s="10">
        <f t="shared" si="65"/>
        <v>382498.95775</v>
      </c>
      <c r="T28" s="10">
        <f t="shared" si="65"/>
        <v>392091.66079999995</v>
      </c>
      <c r="U28" s="10">
        <f t="shared" si="65"/>
        <v>401201.34255799995</v>
      </c>
      <c r="V28" s="10">
        <f t="shared" si="65"/>
        <v>409826.10249999992</v>
      </c>
      <c r="W28" s="10">
        <f t="shared" si="65"/>
        <v>427802.31165000005</v>
      </c>
      <c r="X28" s="10">
        <f t="shared" si="65"/>
        <v>459482.41500000004</v>
      </c>
      <c r="Y28" s="79">
        <f t="shared" si="65"/>
        <v>513654.48544800002</v>
      </c>
      <c r="Z28" s="10">
        <f>Z31+Z34+Z37+Z40+Z43</f>
        <v>343116.47812750004</v>
      </c>
      <c r="AA28" s="10">
        <f>AA31+AA34+AA37+AA40+AA43</f>
        <v>356735.69813000015</v>
      </c>
      <c r="AB28" s="10">
        <f t="shared" ref="AB28:AK28" si="66">AB31+AB34+AB37+AB40+AB43</f>
        <v>375890.47206900007</v>
      </c>
      <c r="AC28" s="10">
        <f t="shared" si="66"/>
        <v>388542.97573452001</v>
      </c>
      <c r="AD28" s="10">
        <f t="shared" si="66"/>
        <v>405940.62201000005</v>
      </c>
      <c r="AE28" s="10">
        <f t="shared" si="66"/>
        <v>416923.86394750001</v>
      </c>
      <c r="AF28" s="10">
        <f t="shared" si="66"/>
        <v>427379.91027200001</v>
      </c>
      <c r="AG28" s="10">
        <f t="shared" si="66"/>
        <v>437309.46338822</v>
      </c>
      <c r="AH28" s="10">
        <f t="shared" si="66"/>
        <v>446710.45172500005</v>
      </c>
      <c r="AI28" s="10">
        <f t="shared" si="66"/>
        <v>466304.51969850005</v>
      </c>
      <c r="AJ28" s="10">
        <f t="shared" si="66"/>
        <v>500835.8323500001</v>
      </c>
      <c r="AK28" s="79">
        <f t="shared" si="66"/>
        <v>559883.38913832011</v>
      </c>
    </row>
    <row r="29" spans="1:37" x14ac:dyDescent="0.25">
      <c r="A29" s="7"/>
      <c r="B29" s="10"/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79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79"/>
      <c r="Z29" s="10"/>
      <c r="AA29" s="10"/>
      <c r="AB29" s="10"/>
      <c r="AC29" s="10"/>
      <c r="AD29" s="10"/>
      <c r="AE29" s="10"/>
      <c r="AF29" s="10"/>
      <c r="AG29" s="10"/>
      <c r="AH29" s="10"/>
      <c r="AI29" s="10"/>
      <c r="AJ29" s="10"/>
      <c r="AK29" s="79"/>
    </row>
    <row r="30" spans="1:37" x14ac:dyDescent="0.25">
      <c r="A30" s="92" t="s">
        <v>25</v>
      </c>
      <c r="B30" s="11">
        <f>B31+B34+B37+B40+B43</f>
        <v>288794.27500000002</v>
      </c>
      <c r="C30" s="11">
        <f t="shared" ref="C30:M30" si="67">C31+C34+C37+C40+C43</f>
        <v>300257.3</v>
      </c>
      <c r="D30" s="11">
        <f t="shared" si="67"/>
        <v>316379.49</v>
      </c>
      <c r="E30" s="11">
        <f t="shared" si="67"/>
        <v>327028.8492</v>
      </c>
      <c r="F30" s="11">
        <f t="shared" si="67"/>
        <v>341672.1</v>
      </c>
      <c r="G30" s="11">
        <f t="shared" si="67"/>
        <v>350916.47499999998</v>
      </c>
      <c r="H30" s="11">
        <f t="shared" si="67"/>
        <v>359717.12</v>
      </c>
      <c r="I30" s="11">
        <f t="shared" si="67"/>
        <v>368074.62620000006</v>
      </c>
      <c r="J30" s="11">
        <f t="shared" si="67"/>
        <v>375987.25</v>
      </c>
      <c r="K30" s="11">
        <f t="shared" si="67"/>
        <v>392479.18500000006</v>
      </c>
      <c r="L30" s="11">
        <f t="shared" si="67"/>
        <v>421543.5</v>
      </c>
      <c r="M30" s="11">
        <f t="shared" si="67"/>
        <v>471242.64720000001</v>
      </c>
      <c r="N30" s="11">
        <f>N31+N34+N37+N40+N43</f>
        <v>314785.75974999997</v>
      </c>
      <c r="O30" s="11">
        <f t="shared" ref="O30" si="68">O31+O34+O37+O40+O43</f>
        <v>327280.45700000005</v>
      </c>
      <c r="P30" s="11">
        <f t="shared" ref="P30" si="69">P31+P34+P37+P40+P43</f>
        <v>344853.64409999998</v>
      </c>
      <c r="Q30" s="11">
        <f t="shared" ref="Q30" si="70">Q31+Q34+Q37+Q40+Q43</f>
        <v>356461.44562800002</v>
      </c>
      <c r="R30" s="11">
        <f t="shared" ref="R30" si="71">R31+R34+R37+R40+R43</f>
        <v>372422.58900000004</v>
      </c>
      <c r="S30" s="11">
        <f t="shared" ref="S30" si="72">S31+S34+S37+S40+S43</f>
        <v>382498.95775</v>
      </c>
      <c r="T30" s="11">
        <f t="shared" ref="T30" si="73">T31+T34+T37+T40+T43</f>
        <v>392091.66079999995</v>
      </c>
      <c r="U30" s="11">
        <f t="shared" ref="U30" si="74">U31+U34+U37+U40+U43</f>
        <v>401201.34255799995</v>
      </c>
      <c r="V30" s="11">
        <f t="shared" ref="V30" si="75">V31+V34+V37+V40+V43</f>
        <v>409826.10249999992</v>
      </c>
      <c r="W30" s="11">
        <f t="shared" ref="W30" si="76">W31+W34+W37+W40+W43</f>
        <v>427802.31165000005</v>
      </c>
      <c r="X30" s="11">
        <f t="shared" ref="X30" si="77">X31+X34+X37+X40+X43</f>
        <v>459482.41500000004</v>
      </c>
      <c r="Y30" s="80">
        <f t="shared" ref="Y30" si="78">Y31+Y34+Y37+Y40+Y43</f>
        <v>513654.48544800002</v>
      </c>
      <c r="Z30" s="11">
        <f>Z31+Z34+Z37+Z40+Z43</f>
        <v>343116.47812750004</v>
      </c>
      <c r="AA30" s="11">
        <f t="shared" ref="AA30" si="79">AA31+AA34+AA37+AA40+AA43</f>
        <v>356735.69813000015</v>
      </c>
      <c r="AB30" s="11">
        <f t="shared" ref="AB30" si="80">AB31+AB34+AB37+AB40+AB43</f>
        <v>375890.47206900007</v>
      </c>
      <c r="AC30" s="11">
        <f t="shared" ref="AC30" si="81">AC31+AC34+AC37+AC40+AC43</f>
        <v>388542.97573452001</v>
      </c>
      <c r="AD30" s="11">
        <f t="shared" ref="AD30" si="82">AD31+AD34+AD37+AD40+AD43</f>
        <v>405940.62201000005</v>
      </c>
      <c r="AE30" s="11">
        <f t="shared" ref="AE30" si="83">AE31+AE34+AE37+AE40+AE43</f>
        <v>416923.86394750001</v>
      </c>
      <c r="AF30" s="11">
        <f t="shared" ref="AF30" si="84">AF31+AF34+AF37+AF40+AF43</f>
        <v>427379.91027200001</v>
      </c>
      <c r="AG30" s="11">
        <f t="shared" ref="AG30" si="85">AG31+AG34+AG37+AG40+AG43</f>
        <v>437309.46338822</v>
      </c>
      <c r="AH30" s="11">
        <f t="shared" ref="AH30" si="86">AH31+AH34+AH37+AH40+AH43</f>
        <v>446710.45172500005</v>
      </c>
      <c r="AI30" s="11">
        <f t="shared" ref="AI30" si="87">AI31+AI34+AI37+AI40+AI43</f>
        <v>466304.51969850005</v>
      </c>
      <c r="AJ30" s="11">
        <f t="shared" ref="AJ30" si="88">AJ31+AJ34+AJ37+AJ40+AJ43</f>
        <v>500835.8323500001</v>
      </c>
      <c r="AK30" s="11">
        <f t="shared" ref="AK30" si="89">AK31+AK34+AK37+AK40+AK43</f>
        <v>559883.38913832011</v>
      </c>
    </row>
    <row r="31" spans="1:37" x14ac:dyDescent="0.25">
      <c r="A31" s="1" t="s">
        <v>130</v>
      </c>
      <c r="B31" s="33">
        <f>SUM(B32:B33)</f>
        <v>86638.282500000001</v>
      </c>
      <c r="C31" s="33">
        <f t="shared" ref="C31:M31" si="90">SUM(C32:C33)</f>
        <v>90077.19</v>
      </c>
      <c r="D31" s="33">
        <f t="shared" si="90"/>
        <v>94913.84699999998</v>
      </c>
      <c r="E31" s="33">
        <f t="shared" si="90"/>
        <v>98108.703000000009</v>
      </c>
      <c r="F31" s="33">
        <f t="shared" si="90"/>
        <v>102501.62999999999</v>
      </c>
      <c r="G31" s="33">
        <f t="shared" si="90"/>
        <v>105274.94249999999</v>
      </c>
      <c r="H31" s="33">
        <f t="shared" si="90"/>
        <v>107915.136</v>
      </c>
      <c r="I31" s="33">
        <f t="shared" si="90"/>
        <v>110422.2237</v>
      </c>
      <c r="J31" s="33">
        <f t="shared" si="90"/>
        <v>112796.196</v>
      </c>
      <c r="K31" s="33">
        <f t="shared" si="90"/>
        <v>117743.7555</v>
      </c>
      <c r="L31" s="33">
        <f t="shared" si="90"/>
        <v>126463.05</v>
      </c>
      <c r="M31" s="83">
        <f t="shared" si="90"/>
        <v>141372.378</v>
      </c>
      <c r="N31" s="33">
        <f>SUM(N32:N33)</f>
        <v>94435.727925000014</v>
      </c>
      <c r="O31" s="33">
        <f t="shared" ref="O31:Y31" si="91">SUM(O32:O33)</f>
        <v>98184.137100000022</v>
      </c>
      <c r="P31" s="33">
        <f t="shared" si="91"/>
        <v>103456.09323</v>
      </c>
      <c r="Q31" s="33">
        <f t="shared" si="91"/>
        <v>106938.48627000001</v>
      </c>
      <c r="R31" s="33">
        <f t="shared" si="91"/>
        <v>111726.7767</v>
      </c>
      <c r="S31" s="33">
        <f t="shared" si="91"/>
        <v>114749.68732500001</v>
      </c>
      <c r="T31" s="33">
        <f t="shared" si="91"/>
        <v>117627.49824000002</v>
      </c>
      <c r="U31" s="33">
        <f t="shared" si="91"/>
        <v>120360.223833</v>
      </c>
      <c r="V31" s="33">
        <f t="shared" si="91"/>
        <v>122947.85364</v>
      </c>
      <c r="W31" s="33">
        <f t="shared" si="91"/>
        <v>128340.69349500001</v>
      </c>
      <c r="X31" s="33">
        <f t="shared" si="91"/>
        <v>137844.72450000001</v>
      </c>
      <c r="Y31" s="83">
        <f t="shared" si="91"/>
        <v>154095.89202000003</v>
      </c>
      <c r="Z31" s="33">
        <f>SUM(Z32:Z33)</f>
        <v>102934.94343825002</v>
      </c>
      <c r="AA31" s="33">
        <f t="shared" ref="AA31:AK31" si="92">SUM(AA32:AA33)</f>
        <v>107020.70943900003</v>
      </c>
      <c r="AB31" s="33">
        <f t="shared" si="92"/>
        <v>112767.14162070001</v>
      </c>
      <c r="AC31" s="33">
        <f t="shared" si="92"/>
        <v>116562.95003430001</v>
      </c>
      <c r="AD31" s="33">
        <f t="shared" si="92"/>
        <v>121782.18660300001</v>
      </c>
      <c r="AE31" s="33">
        <f t="shared" si="92"/>
        <v>125077.15918425002</v>
      </c>
      <c r="AF31" s="33">
        <f t="shared" si="92"/>
        <v>128213.97308160002</v>
      </c>
      <c r="AG31" s="33">
        <f t="shared" si="92"/>
        <v>131192.64397797</v>
      </c>
      <c r="AH31" s="33">
        <f t="shared" si="92"/>
        <v>134013.16046760001</v>
      </c>
      <c r="AI31" s="33">
        <f t="shared" si="92"/>
        <v>139891.35590955001</v>
      </c>
      <c r="AJ31" s="33">
        <f t="shared" si="92"/>
        <v>150250.74970500002</v>
      </c>
      <c r="AK31" s="83">
        <f t="shared" si="92"/>
        <v>167964.52230180003</v>
      </c>
    </row>
    <row r="32" spans="1:37" x14ac:dyDescent="0.25">
      <c r="A32" s="4" t="s">
        <v>136</v>
      </c>
      <c r="B32" s="90">
        <v>51982.969500000007</v>
      </c>
      <c r="C32" s="90">
        <v>54046.313999999998</v>
      </c>
      <c r="D32" s="90">
        <v>56948.308199999992</v>
      </c>
      <c r="E32" s="90">
        <v>58865.221799999999</v>
      </c>
      <c r="F32" s="90">
        <v>61500.977999999988</v>
      </c>
      <c r="G32" s="90">
        <v>63164.965499999991</v>
      </c>
      <c r="H32" s="90">
        <v>64749.081600000005</v>
      </c>
      <c r="I32" s="90">
        <v>66253.326300000001</v>
      </c>
      <c r="J32" s="90">
        <v>67677.699599999993</v>
      </c>
      <c r="K32" s="90">
        <v>70646.253299999997</v>
      </c>
      <c r="L32" s="90">
        <v>75877.83</v>
      </c>
      <c r="M32" s="91">
        <v>84823.426800000001</v>
      </c>
      <c r="N32" s="90">
        <f>B32*$N$27</f>
        <v>56661.43675500001</v>
      </c>
      <c r="O32" s="90">
        <f t="shared" ref="O32:Y33" si="93">C32*$N$27</f>
        <v>58910.482260000004</v>
      </c>
      <c r="P32" s="90">
        <f t="shared" si="93"/>
        <v>62073.655937999996</v>
      </c>
      <c r="Q32" s="90">
        <f t="shared" si="93"/>
        <v>64163.091762000004</v>
      </c>
      <c r="R32" s="90">
        <f t="shared" si="93"/>
        <v>67036.066019999998</v>
      </c>
      <c r="S32" s="90">
        <f t="shared" si="93"/>
        <v>68849.812395000001</v>
      </c>
      <c r="T32" s="90">
        <f t="shared" si="93"/>
        <v>70576.498944000006</v>
      </c>
      <c r="U32" s="90">
        <f t="shared" si="93"/>
        <v>72216.125667</v>
      </c>
      <c r="V32" s="90">
        <f t="shared" si="93"/>
        <v>73768.692563999997</v>
      </c>
      <c r="W32" s="90">
        <f t="shared" si="93"/>
        <v>77004.416097000008</v>
      </c>
      <c r="X32" s="90">
        <f t="shared" si="93"/>
        <v>82706.834700000007</v>
      </c>
      <c r="Y32" s="91">
        <f t="shared" si="93"/>
        <v>92457.535212000003</v>
      </c>
      <c r="Z32" s="90">
        <f>N32*$Z$27</f>
        <v>61760.966062950014</v>
      </c>
      <c r="AA32" s="90">
        <f t="shared" ref="AA32:AA33" si="94">O32*$N$27</f>
        <v>64212.425663400012</v>
      </c>
      <c r="AB32" s="90">
        <f t="shared" ref="AB32:AB33" si="95">P32*$N$27</f>
        <v>67660.284972420006</v>
      </c>
      <c r="AC32" s="90">
        <f t="shared" ref="AC32:AC33" si="96">Q32*$N$27</f>
        <v>69937.770020580007</v>
      </c>
      <c r="AD32" s="90">
        <f t="shared" ref="AD32:AD33" si="97">R32*$N$27</f>
        <v>73069.311961800006</v>
      </c>
      <c r="AE32" s="90">
        <f t="shared" ref="AE32:AE33" si="98">S32*$N$27</f>
        <v>75046.29551055</v>
      </c>
      <c r="AF32" s="90">
        <f t="shared" ref="AF32:AF33" si="99">T32*$N$27</f>
        <v>76928.383848960017</v>
      </c>
      <c r="AG32" s="90">
        <f t="shared" ref="AG32:AG33" si="100">U32*$N$27</f>
        <v>78715.57697703001</v>
      </c>
      <c r="AH32" s="90">
        <f t="shared" ref="AH32:AH33" si="101">V32*$N$27</f>
        <v>80407.874894759996</v>
      </c>
      <c r="AI32" s="90">
        <f t="shared" ref="AI32:AI33" si="102">W32*$N$27</f>
        <v>83934.813545730009</v>
      </c>
      <c r="AJ32" s="90">
        <f t="shared" ref="AJ32:AJ33" si="103">X32*$N$27</f>
        <v>90150.449823000017</v>
      </c>
      <c r="AK32" s="90">
        <f t="shared" ref="AK32:AK33" si="104">Y32*$N$27</f>
        <v>100778.71338108002</v>
      </c>
    </row>
    <row r="33" spans="1:37" x14ac:dyDescent="0.25">
      <c r="A33" s="4" t="s">
        <v>135</v>
      </c>
      <c r="B33" s="32">
        <v>34655.313000000002</v>
      </c>
      <c r="C33" s="32">
        <v>36030.876000000004</v>
      </c>
      <c r="D33" s="32">
        <v>37965.538799999995</v>
      </c>
      <c r="E33" s="32">
        <v>39243.481200000002</v>
      </c>
      <c r="F33" s="32">
        <v>41000.652000000002</v>
      </c>
      <c r="G33" s="32">
        <v>42109.976999999999</v>
      </c>
      <c r="H33" s="32">
        <v>43166.054400000001</v>
      </c>
      <c r="I33" s="32">
        <v>44168.897400000002</v>
      </c>
      <c r="J33" s="32">
        <v>45118.496400000004</v>
      </c>
      <c r="K33" s="32">
        <v>47097.502200000003</v>
      </c>
      <c r="L33" s="32">
        <v>50585.22</v>
      </c>
      <c r="M33" s="78">
        <v>56548.951200000003</v>
      </c>
      <c r="N33" s="90">
        <f>B33*$N$27</f>
        <v>37774.291170000004</v>
      </c>
      <c r="O33" s="90">
        <f t="shared" si="93"/>
        <v>39273.65484000001</v>
      </c>
      <c r="P33" s="90">
        <f t="shared" si="93"/>
        <v>41382.437291999995</v>
      </c>
      <c r="Q33" s="90">
        <f t="shared" si="93"/>
        <v>42775.394508000005</v>
      </c>
      <c r="R33" s="90">
        <f t="shared" si="93"/>
        <v>44690.710680000004</v>
      </c>
      <c r="S33" s="90">
        <f t="shared" si="93"/>
        <v>45899.874930000005</v>
      </c>
      <c r="T33" s="90">
        <f t="shared" si="93"/>
        <v>47050.999296000002</v>
      </c>
      <c r="U33" s="90">
        <f t="shared" si="93"/>
        <v>48144.098166000003</v>
      </c>
      <c r="V33" s="90">
        <f t="shared" si="93"/>
        <v>49179.161076000004</v>
      </c>
      <c r="W33" s="90">
        <f t="shared" si="93"/>
        <v>51336.277398000006</v>
      </c>
      <c r="X33" s="90">
        <f t="shared" si="93"/>
        <v>55137.889800000004</v>
      </c>
      <c r="Y33" s="91">
        <f t="shared" si="93"/>
        <v>61638.356808000011</v>
      </c>
      <c r="Z33" s="90">
        <f>N33*$N$27</f>
        <v>41173.977375300004</v>
      </c>
      <c r="AA33" s="90">
        <f t="shared" si="94"/>
        <v>42808.283775600015</v>
      </c>
      <c r="AB33" s="90">
        <f t="shared" si="95"/>
        <v>45106.856648280002</v>
      </c>
      <c r="AC33" s="90">
        <f t="shared" si="96"/>
        <v>46625.180013720012</v>
      </c>
      <c r="AD33" s="90">
        <f t="shared" si="97"/>
        <v>48712.874641200011</v>
      </c>
      <c r="AE33" s="90">
        <f t="shared" si="98"/>
        <v>50030.863673700012</v>
      </c>
      <c r="AF33" s="90">
        <f t="shared" si="99"/>
        <v>51285.589232640006</v>
      </c>
      <c r="AG33" s="90">
        <f t="shared" si="100"/>
        <v>52477.067000940006</v>
      </c>
      <c r="AH33" s="90">
        <f t="shared" si="101"/>
        <v>53605.28557284001</v>
      </c>
      <c r="AI33" s="90">
        <f t="shared" si="102"/>
        <v>55956.542363820008</v>
      </c>
      <c r="AJ33" s="90">
        <f t="shared" si="103"/>
        <v>60100.299882000007</v>
      </c>
      <c r="AK33" s="90">
        <f t="shared" si="104"/>
        <v>67185.80892072001</v>
      </c>
    </row>
    <row r="34" spans="1:37" x14ac:dyDescent="0.25">
      <c r="A34" s="1" t="s">
        <v>131</v>
      </c>
      <c r="B34" s="33">
        <f>SUM(B35:B36)</f>
        <v>72198.568750000006</v>
      </c>
      <c r="C34" s="33">
        <f t="shared" ref="C34:M34" si="105">SUM(C35:C36)</f>
        <v>75064.324999999997</v>
      </c>
      <c r="D34" s="33">
        <f t="shared" si="105"/>
        <v>79094.872499999998</v>
      </c>
      <c r="E34" s="33">
        <f t="shared" si="105"/>
        <v>81757.252500000002</v>
      </c>
      <c r="F34" s="33">
        <f t="shared" si="105"/>
        <v>85418.024999999994</v>
      </c>
      <c r="G34" s="33">
        <f t="shared" si="105"/>
        <v>87729.118749999994</v>
      </c>
      <c r="H34" s="33">
        <f t="shared" si="105"/>
        <v>89929.279999999999</v>
      </c>
      <c r="I34" s="33">
        <f t="shared" si="105"/>
        <v>92018.942249999993</v>
      </c>
      <c r="J34" s="33">
        <f t="shared" si="105"/>
        <v>93996.804999999993</v>
      </c>
      <c r="K34" s="33">
        <f t="shared" si="105"/>
        <v>98119.796249999999</v>
      </c>
      <c r="L34" s="33">
        <f t="shared" si="105"/>
        <v>105385.875</v>
      </c>
      <c r="M34" s="83">
        <f t="shared" si="105"/>
        <v>117810.315</v>
      </c>
      <c r="N34" s="33">
        <f>SUM(N35:N36)</f>
        <v>78696.439937500007</v>
      </c>
      <c r="O34" s="33">
        <f t="shared" ref="O34:Y34" si="106">SUM(O35:O36)</f>
        <v>81820.114250000013</v>
      </c>
      <c r="P34" s="33">
        <f t="shared" si="106"/>
        <v>86213.411025000009</v>
      </c>
      <c r="Q34" s="33">
        <f t="shared" si="106"/>
        <v>89115.40522500001</v>
      </c>
      <c r="R34" s="33">
        <f t="shared" si="106"/>
        <v>93105.647250000009</v>
      </c>
      <c r="S34" s="33">
        <f t="shared" si="106"/>
        <v>95624.739437500015</v>
      </c>
      <c r="T34" s="33">
        <f t="shared" si="106"/>
        <v>98022.915199999989</v>
      </c>
      <c r="U34" s="33">
        <f t="shared" si="106"/>
        <v>100300.64705249999</v>
      </c>
      <c r="V34" s="33">
        <f t="shared" si="106"/>
        <v>102456.51744999998</v>
      </c>
      <c r="W34" s="33">
        <f t="shared" si="106"/>
        <v>106950.57791250001</v>
      </c>
      <c r="X34" s="33">
        <f t="shared" si="106"/>
        <v>114870.60375000001</v>
      </c>
      <c r="Y34" s="83">
        <f t="shared" si="106"/>
        <v>128413.24335</v>
      </c>
      <c r="Z34" s="33">
        <f>SUM(Z35:Z36)</f>
        <v>85779.119531875011</v>
      </c>
      <c r="AA34" s="33">
        <f t="shared" ref="AA34:AK34" si="107">SUM(AA35:AA36)</f>
        <v>89183.924532500008</v>
      </c>
      <c r="AB34" s="33">
        <f t="shared" si="107"/>
        <v>93972.618017250003</v>
      </c>
      <c r="AC34" s="33">
        <f t="shared" si="107"/>
        <v>97135.791695250024</v>
      </c>
      <c r="AD34" s="33">
        <f t="shared" si="107"/>
        <v>101485.15550250001</v>
      </c>
      <c r="AE34" s="33">
        <f t="shared" si="107"/>
        <v>104230.96598687502</v>
      </c>
      <c r="AF34" s="33">
        <f t="shared" si="107"/>
        <v>106844.977568</v>
      </c>
      <c r="AG34" s="33">
        <f t="shared" si="107"/>
        <v>109327.70528722499</v>
      </c>
      <c r="AH34" s="33">
        <f t="shared" si="107"/>
        <v>111677.6040205</v>
      </c>
      <c r="AI34" s="33">
        <f t="shared" si="107"/>
        <v>116576.12992462503</v>
      </c>
      <c r="AJ34" s="33">
        <f t="shared" si="107"/>
        <v>125208.95808750001</v>
      </c>
      <c r="AK34" s="83">
        <f t="shared" si="107"/>
        <v>139970.43525150002</v>
      </c>
    </row>
    <row r="35" spans="1:37" x14ac:dyDescent="0.25">
      <c r="A35" s="4" t="s">
        <v>137</v>
      </c>
      <c r="B35" s="90">
        <v>43319.141250000001</v>
      </c>
      <c r="C35" s="90">
        <v>45038.595000000001</v>
      </c>
      <c r="D35" s="90">
        <v>47456.923500000004</v>
      </c>
      <c r="E35" s="90">
        <v>49054.351499999997</v>
      </c>
      <c r="F35" s="90">
        <v>51250.815000000002</v>
      </c>
      <c r="G35" s="90">
        <v>52637.471250000002</v>
      </c>
      <c r="H35" s="90">
        <v>53957.567999999992</v>
      </c>
      <c r="I35" s="90">
        <v>55211.538749999992</v>
      </c>
      <c r="J35" s="90">
        <v>56398.082999999991</v>
      </c>
      <c r="K35" s="90">
        <v>58871.87775</v>
      </c>
      <c r="L35" s="90">
        <v>63231.525000000001</v>
      </c>
      <c r="M35" s="91">
        <v>70686.188999999998</v>
      </c>
      <c r="N35" s="90">
        <f>B35*$N$27</f>
        <v>47217.863962500007</v>
      </c>
      <c r="O35" s="90">
        <f t="shared" ref="O35:Y36" si="108">C35*$N$27</f>
        <v>49092.068550000004</v>
      </c>
      <c r="P35" s="90">
        <f t="shared" si="108"/>
        <v>51728.046615000007</v>
      </c>
      <c r="Q35" s="90">
        <f t="shared" si="108"/>
        <v>53469.243135000004</v>
      </c>
      <c r="R35" s="90">
        <f t="shared" si="108"/>
        <v>55863.388350000008</v>
      </c>
      <c r="S35" s="90">
        <f t="shared" si="108"/>
        <v>57374.843662500003</v>
      </c>
      <c r="T35" s="90">
        <f t="shared" si="108"/>
        <v>58813.749119999993</v>
      </c>
      <c r="U35" s="90">
        <f t="shared" si="108"/>
        <v>60180.577237499994</v>
      </c>
      <c r="V35" s="90">
        <f t="shared" si="108"/>
        <v>61473.910469999995</v>
      </c>
      <c r="W35" s="90">
        <f t="shared" si="108"/>
        <v>64170.346747500007</v>
      </c>
      <c r="X35" s="90">
        <f t="shared" si="108"/>
        <v>68922.362250000006</v>
      </c>
      <c r="Y35" s="91">
        <f t="shared" si="108"/>
        <v>77047.94601</v>
      </c>
      <c r="Z35" s="90">
        <f>N35*$N$27</f>
        <v>51467.471719125009</v>
      </c>
      <c r="AA35" s="90">
        <f t="shared" ref="AA35:AA36" si="109">O35*$N$27</f>
        <v>53510.354719500006</v>
      </c>
      <c r="AB35" s="90">
        <f t="shared" ref="AB35:AB36" si="110">P35*$N$27</f>
        <v>56383.570810350015</v>
      </c>
      <c r="AC35" s="90">
        <f t="shared" ref="AC35:AC36" si="111">Q35*$N$27</f>
        <v>58281.475017150005</v>
      </c>
      <c r="AD35" s="90">
        <f t="shared" ref="AD35:AD36" si="112">R35*$N$27</f>
        <v>60891.093301500012</v>
      </c>
      <c r="AE35" s="90">
        <f t="shared" ref="AE35:AE36" si="113">S35*$N$27</f>
        <v>62538.57959212501</v>
      </c>
      <c r="AF35" s="90">
        <f t="shared" ref="AF35:AF36" si="114">T35*$N$27</f>
        <v>64106.986540799997</v>
      </c>
      <c r="AG35" s="90">
        <f t="shared" ref="AG35:AG36" si="115">U35*$N$27</f>
        <v>65596.829188874995</v>
      </c>
      <c r="AH35" s="90">
        <f t="shared" ref="AH35:AH36" si="116">V35*$N$27</f>
        <v>67006.562412300002</v>
      </c>
      <c r="AI35" s="90">
        <f t="shared" ref="AI35:AI36" si="117">W35*$N$27</f>
        <v>69945.677954775019</v>
      </c>
      <c r="AJ35" s="90">
        <f t="shared" ref="AJ35:AJ36" si="118">X35*$N$27</f>
        <v>75125.374852500012</v>
      </c>
      <c r="AK35" s="90">
        <f t="shared" ref="AK35:AK36" si="119">Y35*$N$27</f>
        <v>83982.261150900013</v>
      </c>
    </row>
    <row r="36" spans="1:37" x14ac:dyDescent="0.25">
      <c r="A36" s="4" t="s">
        <v>138</v>
      </c>
      <c r="B36" s="90">
        <v>28879.427499999998</v>
      </c>
      <c r="C36" s="90">
        <v>30025.73</v>
      </c>
      <c r="D36" s="90">
        <v>31637.948999999993</v>
      </c>
      <c r="E36" s="90">
        <v>32702.901000000005</v>
      </c>
      <c r="F36" s="90">
        <v>34167.21</v>
      </c>
      <c r="G36" s="90">
        <v>35091.647499999999</v>
      </c>
      <c r="H36" s="90">
        <v>35971.712</v>
      </c>
      <c r="I36" s="90">
        <v>36807.4035</v>
      </c>
      <c r="J36" s="90">
        <v>37598.721999999994</v>
      </c>
      <c r="K36" s="90">
        <v>39247.9185</v>
      </c>
      <c r="L36" s="90">
        <v>42154.35</v>
      </c>
      <c r="M36" s="91">
        <v>47124.126000000004</v>
      </c>
      <c r="N36" s="90">
        <f>B36*$N$27</f>
        <v>31478.575975</v>
      </c>
      <c r="O36" s="90">
        <f t="shared" si="108"/>
        <v>32728.045700000002</v>
      </c>
      <c r="P36" s="90">
        <f t="shared" si="108"/>
        <v>34485.364409999995</v>
      </c>
      <c r="Q36" s="90">
        <f t="shared" si="108"/>
        <v>35646.162090000005</v>
      </c>
      <c r="R36" s="90">
        <f t="shared" si="108"/>
        <v>37242.258900000001</v>
      </c>
      <c r="S36" s="90">
        <f t="shared" si="108"/>
        <v>38249.895775000005</v>
      </c>
      <c r="T36" s="90">
        <f t="shared" si="108"/>
        <v>39209.166080000003</v>
      </c>
      <c r="U36" s="90">
        <f t="shared" si="108"/>
        <v>40120.069815000003</v>
      </c>
      <c r="V36" s="90">
        <f t="shared" si="108"/>
        <v>40982.606979999997</v>
      </c>
      <c r="W36" s="90">
        <f t="shared" si="108"/>
        <v>42780.231165000005</v>
      </c>
      <c r="X36" s="90">
        <f t="shared" si="108"/>
        <v>45948.241500000004</v>
      </c>
      <c r="Y36" s="91">
        <f t="shared" si="108"/>
        <v>51365.297340000005</v>
      </c>
      <c r="Z36" s="90">
        <f>N36*$N$27</f>
        <v>34311.647812750001</v>
      </c>
      <c r="AA36" s="90">
        <f t="shared" si="109"/>
        <v>35673.569813000002</v>
      </c>
      <c r="AB36" s="90">
        <f t="shared" si="110"/>
        <v>37589.047206899995</v>
      </c>
      <c r="AC36" s="90">
        <f t="shared" si="111"/>
        <v>38854.316678100011</v>
      </c>
      <c r="AD36" s="90">
        <f t="shared" si="112"/>
        <v>40594.062201000001</v>
      </c>
      <c r="AE36" s="90">
        <f t="shared" si="113"/>
        <v>41692.386394750007</v>
      </c>
      <c r="AF36" s="90">
        <f t="shared" si="114"/>
        <v>42737.991027200005</v>
      </c>
      <c r="AG36" s="90">
        <f t="shared" si="115"/>
        <v>43730.876098350003</v>
      </c>
      <c r="AH36" s="90">
        <f t="shared" si="116"/>
        <v>44671.041608200001</v>
      </c>
      <c r="AI36" s="90">
        <f t="shared" si="117"/>
        <v>46630.451969850008</v>
      </c>
      <c r="AJ36" s="90">
        <f t="shared" si="118"/>
        <v>50083.583235000006</v>
      </c>
      <c r="AK36" s="90">
        <f t="shared" si="119"/>
        <v>55988.174100600008</v>
      </c>
    </row>
    <row r="37" spans="1:37" x14ac:dyDescent="0.25">
      <c r="A37" s="1" t="s">
        <v>132</v>
      </c>
      <c r="B37" s="33">
        <f>SUM(B38:B39)</f>
        <v>72198.568750000006</v>
      </c>
      <c r="C37" s="33">
        <f t="shared" ref="C37:M37" si="120">SUM(C38:C39)</f>
        <v>75064.324999999997</v>
      </c>
      <c r="D37" s="33">
        <f t="shared" si="120"/>
        <v>79094.872499999998</v>
      </c>
      <c r="E37" s="33">
        <f t="shared" si="120"/>
        <v>81757.252500000002</v>
      </c>
      <c r="F37" s="33">
        <f t="shared" si="120"/>
        <v>85418.024999999994</v>
      </c>
      <c r="G37" s="33">
        <f t="shared" si="120"/>
        <v>87729.118749999994</v>
      </c>
      <c r="H37" s="33">
        <f t="shared" si="120"/>
        <v>89929.279999999999</v>
      </c>
      <c r="I37" s="33">
        <f t="shared" si="120"/>
        <v>92018.942249999993</v>
      </c>
      <c r="J37" s="33">
        <f t="shared" si="120"/>
        <v>93996.804999999993</v>
      </c>
      <c r="K37" s="33">
        <f t="shared" si="120"/>
        <v>98119.796249999999</v>
      </c>
      <c r="L37" s="33">
        <f t="shared" si="120"/>
        <v>105385.875</v>
      </c>
      <c r="M37" s="83">
        <f t="shared" si="120"/>
        <v>117810.315</v>
      </c>
      <c r="N37" s="33">
        <f>SUM(N38:N39)</f>
        <v>78696.439937500007</v>
      </c>
      <c r="O37" s="33">
        <f t="shared" ref="O37:Y37" si="121">SUM(O38:O39)</f>
        <v>81820.114250000013</v>
      </c>
      <c r="P37" s="33">
        <f t="shared" si="121"/>
        <v>86213.411025000009</v>
      </c>
      <c r="Q37" s="33">
        <f t="shared" si="121"/>
        <v>89115.40522500001</v>
      </c>
      <c r="R37" s="33">
        <f t="shared" si="121"/>
        <v>93105.647250000009</v>
      </c>
      <c r="S37" s="33">
        <f t="shared" si="121"/>
        <v>95624.739437500015</v>
      </c>
      <c r="T37" s="33">
        <f t="shared" si="121"/>
        <v>98022.915199999989</v>
      </c>
      <c r="U37" s="33">
        <f t="shared" si="121"/>
        <v>100300.64705249999</v>
      </c>
      <c r="V37" s="33">
        <f t="shared" si="121"/>
        <v>102456.51744999998</v>
      </c>
      <c r="W37" s="33">
        <f t="shared" si="121"/>
        <v>106950.57791250001</v>
      </c>
      <c r="X37" s="33">
        <f t="shared" si="121"/>
        <v>114870.60375000001</v>
      </c>
      <c r="Y37" s="83">
        <f t="shared" si="121"/>
        <v>128413.24335</v>
      </c>
      <c r="Z37" s="33">
        <f>SUM(Z38:Z39)</f>
        <v>85779.119531875011</v>
      </c>
      <c r="AA37" s="33">
        <f t="shared" ref="AA37:AK37" si="122">SUM(AA38:AA39)</f>
        <v>89183.924532500008</v>
      </c>
      <c r="AB37" s="33">
        <f t="shared" si="122"/>
        <v>93972.618017250003</v>
      </c>
      <c r="AC37" s="33">
        <f t="shared" si="122"/>
        <v>97135.791695250024</v>
      </c>
      <c r="AD37" s="33">
        <f t="shared" si="122"/>
        <v>101485.15550250001</v>
      </c>
      <c r="AE37" s="33">
        <f t="shared" si="122"/>
        <v>104230.96598687502</v>
      </c>
      <c r="AF37" s="33">
        <f t="shared" si="122"/>
        <v>106844.977568</v>
      </c>
      <c r="AG37" s="33">
        <f t="shared" si="122"/>
        <v>109327.70528722499</v>
      </c>
      <c r="AH37" s="33">
        <f t="shared" si="122"/>
        <v>111677.6040205</v>
      </c>
      <c r="AI37" s="33">
        <f t="shared" si="122"/>
        <v>116576.12992462503</v>
      </c>
      <c r="AJ37" s="33">
        <f t="shared" si="122"/>
        <v>125208.95808750001</v>
      </c>
      <c r="AK37" s="83">
        <f t="shared" si="122"/>
        <v>139970.43525150002</v>
      </c>
    </row>
    <row r="38" spans="1:37" x14ac:dyDescent="0.25">
      <c r="A38" s="4" t="s">
        <v>139</v>
      </c>
      <c r="B38" s="90">
        <v>43319.141250000001</v>
      </c>
      <c r="C38" s="90">
        <v>45038.595000000001</v>
      </c>
      <c r="D38" s="90">
        <v>47456.923500000004</v>
      </c>
      <c r="E38" s="90">
        <v>49054.351499999997</v>
      </c>
      <c r="F38" s="90">
        <v>51250.815000000002</v>
      </c>
      <c r="G38" s="90">
        <v>52637.471250000002</v>
      </c>
      <c r="H38" s="90">
        <v>53957.567999999992</v>
      </c>
      <c r="I38" s="90">
        <v>55211.538749999992</v>
      </c>
      <c r="J38" s="90">
        <v>56398.082999999991</v>
      </c>
      <c r="K38" s="90">
        <v>58871.87775</v>
      </c>
      <c r="L38" s="90">
        <v>63231.525000000001</v>
      </c>
      <c r="M38" s="91">
        <v>70686.188999999998</v>
      </c>
      <c r="N38" s="90">
        <f>B38*$N$27</f>
        <v>47217.863962500007</v>
      </c>
      <c r="O38" s="90">
        <f t="shared" ref="O38:Y39" si="123">C38*$N$27</f>
        <v>49092.068550000004</v>
      </c>
      <c r="P38" s="90">
        <f t="shared" si="123"/>
        <v>51728.046615000007</v>
      </c>
      <c r="Q38" s="90">
        <f t="shared" si="123"/>
        <v>53469.243135000004</v>
      </c>
      <c r="R38" s="90">
        <f t="shared" si="123"/>
        <v>55863.388350000008</v>
      </c>
      <c r="S38" s="90">
        <f t="shared" si="123"/>
        <v>57374.843662500003</v>
      </c>
      <c r="T38" s="90">
        <f t="shared" si="123"/>
        <v>58813.749119999993</v>
      </c>
      <c r="U38" s="90">
        <f t="shared" si="123"/>
        <v>60180.577237499994</v>
      </c>
      <c r="V38" s="90">
        <f t="shared" si="123"/>
        <v>61473.910469999995</v>
      </c>
      <c r="W38" s="90">
        <f t="shared" si="123"/>
        <v>64170.346747500007</v>
      </c>
      <c r="X38" s="90">
        <f t="shared" si="123"/>
        <v>68922.362250000006</v>
      </c>
      <c r="Y38" s="91">
        <f t="shared" si="123"/>
        <v>77047.94601</v>
      </c>
      <c r="Z38" s="90">
        <f>N38*$N$27</f>
        <v>51467.471719125009</v>
      </c>
      <c r="AA38" s="90">
        <f t="shared" ref="AA38:AA39" si="124">O38*$N$27</f>
        <v>53510.354719500006</v>
      </c>
      <c r="AB38" s="90">
        <f t="shared" ref="AB38:AB39" si="125">P38*$N$27</f>
        <v>56383.570810350015</v>
      </c>
      <c r="AC38" s="90">
        <f t="shared" ref="AC38:AC39" si="126">Q38*$N$27</f>
        <v>58281.475017150005</v>
      </c>
      <c r="AD38" s="90">
        <f t="shared" ref="AD38:AD39" si="127">R38*$N$27</f>
        <v>60891.093301500012</v>
      </c>
      <c r="AE38" s="90">
        <f t="shared" ref="AE38:AE39" si="128">S38*$N$27</f>
        <v>62538.57959212501</v>
      </c>
      <c r="AF38" s="90">
        <f t="shared" ref="AF38:AF39" si="129">T38*$N$27</f>
        <v>64106.986540799997</v>
      </c>
      <c r="AG38" s="90">
        <f t="shared" ref="AG38:AG39" si="130">U38*$N$27</f>
        <v>65596.829188874995</v>
      </c>
      <c r="AH38" s="90">
        <f t="shared" ref="AH38:AH39" si="131">V38*$N$27</f>
        <v>67006.562412300002</v>
      </c>
      <c r="AI38" s="90">
        <f t="shared" ref="AI38:AI39" si="132">W38*$N$27</f>
        <v>69945.677954775019</v>
      </c>
      <c r="AJ38" s="90">
        <f t="shared" ref="AJ38:AJ39" si="133">X38*$N$27</f>
        <v>75125.374852500012</v>
      </c>
      <c r="AK38" s="90">
        <f t="shared" ref="AK38:AK39" si="134">Y38*$N$27</f>
        <v>83982.261150900013</v>
      </c>
    </row>
    <row r="39" spans="1:37" x14ac:dyDescent="0.25">
      <c r="A39" s="4" t="s">
        <v>140</v>
      </c>
      <c r="B39" s="32">
        <v>28879.427499999998</v>
      </c>
      <c r="C39" s="32">
        <v>30025.73</v>
      </c>
      <c r="D39" s="32">
        <v>31637.948999999993</v>
      </c>
      <c r="E39" s="32">
        <v>32702.901000000005</v>
      </c>
      <c r="F39" s="32">
        <v>34167.21</v>
      </c>
      <c r="G39" s="32">
        <v>35091.647499999999</v>
      </c>
      <c r="H39" s="32">
        <v>35971.712</v>
      </c>
      <c r="I39" s="32">
        <v>36807.4035</v>
      </c>
      <c r="J39" s="32">
        <v>37598.721999999994</v>
      </c>
      <c r="K39" s="32">
        <v>39247.9185</v>
      </c>
      <c r="L39" s="32">
        <v>42154.35</v>
      </c>
      <c r="M39" s="78">
        <v>47124.126000000004</v>
      </c>
      <c r="N39" s="90">
        <f>B39*$N$27</f>
        <v>31478.575975</v>
      </c>
      <c r="O39" s="90">
        <f t="shared" si="123"/>
        <v>32728.045700000002</v>
      </c>
      <c r="P39" s="90">
        <f t="shared" si="123"/>
        <v>34485.364409999995</v>
      </c>
      <c r="Q39" s="90">
        <f t="shared" si="123"/>
        <v>35646.162090000005</v>
      </c>
      <c r="R39" s="90">
        <f t="shared" si="123"/>
        <v>37242.258900000001</v>
      </c>
      <c r="S39" s="90">
        <f t="shared" si="123"/>
        <v>38249.895775000005</v>
      </c>
      <c r="T39" s="90">
        <f t="shared" si="123"/>
        <v>39209.166080000003</v>
      </c>
      <c r="U39" s="90">
        <f t="shared" si="123"/>
        <v>40120.069815000003</v>
      </c>
      <c r="V39" s="90">
        <f t="shared" si="123"/>
        <v>40982.606979999997</v>
      </c>
      <c r="W39" s="90">
        <f t="shared" si="123"/>
        <v>42780.231165000005</v>
      </c>
      <c r="X39" s="90">
        <f t="shared" si="123"/>
        <v>45948.241500000004</v>
      </c>
      <c r="Y39" s="91">
        <f t="shared" si="123"/>
        <v>51365.297340000005</v>
      </c>
      <c r="Z39" s="90">
        <f>N39*$N$27</f>
        <v>34311.647812750001</v>
      </c>
      <c r="AA39" s="90">
        <f t="shared" si="124"/>
        <v>35673.569813000002</v>
      </c>
      <c r="AB39" s="90">
        <f t="shared" si="125"/>
        <v>37589.047206899995</v>
      </c>
      <c r="AC39" s="90">
        <f t="shared" si="126"/>
        <v>38854.316678100011</v>
      </c>
      <c r="AD39" s="90">
        <f t="shared" si="127"/>
        <v>40594.062201000001</v>
      </c>
      <c r="AE39" s="90">
        <f t="shared" si="128"/>
        <v>41692.386394750007</v>
      </c>
      <c r="AF39" s="90">
        <f t="shared" si="129"/>
        <v>42737.991027200005</v>
      </c>
      <c r="AG39" s="90">
        <f t="shared" si="130"/>
        <v>43730.876098350003</v>
      </c>
      <c r="AH39" s="90">
        <f t="shared" si="131"/>
        <v>44671.041608200001</v>
      </c>
      <c r="AI39" s="90">
        <f t="shared" si="132"/>
        <v>46630.451969850008</v>
      </c>
      <c r="AJ39" s="90">
        <f t="shared" si="133"/>
        <v>50083.583235000006</v>
      </c>
      <c r="AK39" s="90">
        <f t="shared" si="134"/>
        <v>55988.174100600008</v>
      </c>
    </row>
    <row r="40" spans="1:37" x14ac:dyDescent="0.25">
      <c r="A40" s="1" t="s">
        <v>133</v>
      </c>
      <c r="B40" s="33">
        <f>SUM(B41:B42)</f>
        <v>28879.427499999998</v>
      </c>
      <c r="C40" s="33">
        <f t="shared" ref="C40:M40" si="135">SUM(C41:C42)</f>
        <v>30025.73</v>
      </c>
      <c r="D40" s="33">
        <f t="shared" si="135"/>
        <v>31637.948999999997</v>
      </c>
      <c r="E40" s="33">
        <f t="shared" si="135"/>
        <v>32702.820600000003</v>
      </c>
      <c r="F40" s="33">
        <f t="shared" si="135"/>
        <v>34167.210000000006</v>
      </c>
      <c r="G40" s="33">
        <f t="shared" si="135"/>
        <v>35091.647499999999</v>
      </c>
      <c r="H40" s="33">
        <f t="shared" si="135"/>
        <v>35971.712</v>
      </c>
      <c r="I40" s="33">
        <f t="shared" si="135"/>
        <v>36807.258999999998</v>
      </c>
      <c r="J40" s="33">
        <f t="shared" si="135"/>
        <v>37598.722000000002</v>
      </c>
      <c r="K40" s="33">
        <f t="shared" si="135"/>
        <v>39247.9185</v>
      </c>
      <c r="L40" s="33">
        <f t="shared" si="135"/>
        <v>42154.350000000006</v>
      </c>
      <c r="M40" s="83">
        <f t="shared" si="135"/>
        <v>47124.819600000003</v>
      </c>
      <c r="N40" s="33">
        <f>SUM(N41:N42)</f>
        <v>31478.575975</v>
      </c>
      <c r="O40" s="33">
        <f t="shared" ref="O40:Y40" si="136">SUM(O41:O42)</f>
        <v>32728.045700000002</v>
      </c>
      <c r="P40" s="33">
        <f t="shared" si="136"/>
        <v>34485.364409999995</v>
      </c>
      <c r="Q40" s="33">
        <f t="shared" si="136"/>
        <v>35646.074454000001</v>
      </c>
      <c r="R40" s="33">
        <f t="shared" si="136"/>
        <v>37242.258900000001</v>
      </c>
      <c r="S40" s="33">
        <f t="shared" si="136"/>
        <v>38249.895775000005</v>
      </c>
      <c r="T40" s="33">
        <f t="shared" si="136"/>
        <v>39209.166080000003</v>
      </c>
      <c r="U40" s="33">
        <f t="shared" si="136"/>
        <v>40119.91231</v>
      </c>
      <c r="V40" s="33">
        <f t="shared" si="136"/>
        <v>40982.606980000004</v>
      </c>
      <c r="W40" s="33">
        <f t="shared" si="136"/>
        <v>42780.231165000005</v>
      </c>
      <c r="X40" s="33">
        <f t="shared" si="136"/>
        <v>45948.241500000004</v>
      </c>
      <c r="Y40" s="83">
        <f t="shared" si="136"/>
        <v>51366.053364000007</v>
      </c>
      <c r="Z40" s="33">
        <f>SUM(Z41:Z42)</f>
        <v>34311.647812750001</v>
      </c>
      <c r="AA40" s="33">
        <f t="shared" ref="AA40:AK40" si="137">SUM(AA41:AA42)</f>
        <v>35673.569813000009</v>
      </c>
      <c r="AB40" s="33">
        <f t="shared" si="137"/>
        <v>37589.047206900002</v>
      </c>
      <c r="AC40" s="33">
        <f t="shared" si="137"/>
        <v>38854.22115486001</v>
      </c>
      <c r="AD40" s="33">
        <f t="shared" si="137"/>
        <v>40594.062201000008</v>
      </c>
      <c r="AE40" s="33">
        <f t="shared" si="137"/>
        <v>41692.386394750007</v>
      </c>
      <c r="AF40" s="33">
        <f t="shared" si="137"/>
        <v>42737.991027200005</v>
      </c>
      <c r="AG40" s="33">
        <f t="shared" si="137"/>
        <v>43730.704417900008</v>
      </c>
      <c r="AH40" s="33">
        <f t="shared" si="137"/>
        <v>44671.041608200008</v>
      </c>
      <c r="AI40" s="33">
        <f t="shared" si="137"/>
        <v>46630.451969850008</v>
      </c>
      <c r="AJ40" s="33">
        <f t="shared" si="137"/>
        <v>50083.583235000006</v>
      </c>
      <c r="AK40" s="83">
        <f t="shared" si="137"/>
        <v>55988.998166760008</v>
      </c>
    </row>
    <row r="41" spans="1:37" x14ac:dyDescent="0.25">
      <c r="A41" s="4" t="s">
        <v>141</v>
      </c>
      <c r="B41" s="32">
        <v>17327.656500000001</v>
      </c>
      <c r="C41" s="32">
        <v>18015.438000000002</v>
      </c>
      <c r="D41" s="32">
        <v>18982.769399999997</v>
      </c>
      <c r="E41" s="32">
        <v>19621.740600000001</v>
      </c>
      <c r="F41" s="32">
        <v>20500.326000000001</v>
      </c>
      <c r="G41" s="32">
        <v>21054.988499999999</v>
      </c>
      <c r="H41" s="32">
        <v>21583.0272</v>
      </c>
      <c r="I41" s="32">
        <v>22084.297599999998</v>
      </c>
      <c r="J41" s="32">
        <v>22559.233200000002</v>
      </c>
      <c r="K41" s="32">
        <v>23548.751100000001</v>
      </c>
      <c r="L41" s="32">
        <v>25292.61</v>
      </c>
      <c r="M41" s="78">
        <v>28275.169200000004</v>
      </c>
      <c r="N41" s="32">
        <f>B41*$N$27</f>
        <v>18887.145585000002</v>
      </c>
      <c r="O41" s="32">
        <f t="shared" ref="O41:Y42" si="138">C41*$N$27</f>
        <v>19636.827420000005</v>
      </c>
      <c r="P41" s="32">
        <f t="shared" si="138"/>
        <v>20691.218645999998</v>
      </c>
      <c r="Q41" s="32">
        <f t="shared" si="138"/>
        <v>21387.697254000002</v>
      </c>
      <c r="R41" s="32">
        <f t="shared" si="138"/>
        <v>22345.355340000002</v>
      </c>
      <c r="S41" s="32">
        <f t="shared" si="138"/>
        <v>22949.937465000003</v>
      </c>
      <c r="T41" s="32">
        <f t="shared" si="138"/>
        <v>23525.499648000001</v>
      </c>
      <c r="U41" s="32">
        <f t="shared" si="138"/>
        <v>24071.884384000001</v>
      </c>
      <c r="V41" s="32">
        <f t="shared" si="138"/>
        <v>24589.564188000004</v>
      </c>
      <c r="W41" s="32">
        <f t="shared" si="138"/>
        <v>25668.138699000003</v>
      </c>
      <c r="X41" s="32">
        <f t="shared" si="138"/>
        <v>27568.944900000002</v>
      </c>
      <c r="Y41" s="78">
        <f t="shared" si="138"/>
        <v>30819.934428000008</v>
      </c>
      <c r="Z41" s="32">
        <f>N41*$N$27</f>
        <v>20586.988687650002</v>
      </c>
      <c r="AA41" s="32">
        <f t="shared" ref="AA41:AA42" si="139">O41*$N$27</f>
        <v>21404.141887800008</v>
      </c>
      <c r="AB41" s="32">
        <f t="shared" ref="AB41:AB42" si="140">P41*$N$27</f>
        <v>22553.428324140001</v>
      </c>
      <c r="AC41" s="32">
        <f t="shared" ref="AC41:AC42" si="141">Q41*$N$27</f>
        <v>23312.590006860006</v>
      </c>
      <c r="AD41" s="32">
        <f t="shared" ref="AD41:AD42" si="142">R41*$N$27</f>
        <v>24356.437320600005</v>
      </c>
      <c r="AE41" s="32">
        <f t="shared" ref="AE41:AE42" si="143">S41*$N$27</f>
        <v>25015.431836850006</v>
      </c>
      <c r="AF41" s="32">
        <f t="shared" ref="AF41:AF42" si="144">T41*$N$27</f>
        <v>25642.794616320003</v>
      </c>
      <c r="AG41" s="32">
        <f t="shared" ref="AG41:AG42" si="145">U41*$N$27</f>
        <v>26238.353978560004</v>
      </c>
      <c r="AH41" s="32">
        <f t="shared" ref="AH41:AH42" si="146">V41*$N$27</f>
        <v>26802.624964920007</v>
      </c>
      <c r="AI41" s="32">
        <f t="shared" ref="AI41:AI42" si="147">W41*$N$27</f>
        <v>27978.271181910004</v>
      </c>
      <c r="AJ41" s="32">
        <f t="shared" ref="AJ41:AJ42" si="148">X41*$N$27</f>
        <v>30050.149941000003</v>
      </c>
      <c r="AK41" s="32">
        <f t="shared" ref="AK41:AK42" si="149">Y41*$N$27</f>
        <v>33593.728526520012</v>
      </c>
    </row>
    <row r="42" spans="1:37" x14ac:dyDescent="0.25">
      <c r="A42" s="4" t="s">
        <v>142</v>
      </c>
      <c r="B42" s="32">
        <v>11551.770999999999</v>
      </c>
      <c r="C42" s="32">
        <v>12010.291999999998</v>
      </c>
      <c r="D42" s="32">
        <v>12655.179599999999</v>
      </c>
      <c r="E42" s="32">
        <v>13081.080000000002</v>
      </c>
      <c r="F42" s="32">
        <v>13666.884000000002</v>
      </c>
      <c r="G42" s="32">
        <v>14036.659000000001</v>
      </c>
      <c r="H42" s="32">
        <v>14388.684799999999</v>
      </c>
      <c r="I42" s="32">
        <v>14722.9614</v>
      </c>
      <c r="J42" s="32">
        <v>15039.488799999999</v>
      </c>
      <c r="K42" s="32">
        <v>15699.1674</v>
      </c>
      <c r="L42" s="32">
        <v>16861.740000000002</v>
      </c>
      <c r="M42" s="78">
        <v>18849.650399999999</v>
      </c>
      <c r="N42" s="32">
        <f>B42*$N$27</f>
        <v>12591.43039</v>
      </c>
      <c r="O42" s="32">
        <f t="shared" si="138"/>
        <v>13091.218279999999</v>
      </c>
      <c r="P42" s="32">
        <f t="shared" si="138"/>
        <v>13794.145764000001</v>
      </c>
      <c r="Q42" s="32">
        <f t="shared" si="138"/>
        <v>14258.377200000003</v>
      </c>
      <c r="R42" s="32">
        <f t="shared" si="138"/>
        <v>14896.903560000002</v>
      </c>
      <c r="S42" s="32">
        <f t="shared" si="138"/>
        <v>15299.958310000004</v>
      </c>
      <c r="T42" s="32">
        <f t="shared" si="138"/>
        <v>15683.666432</v>
      </c>
      <c r="U42" s="32">
        <f t="shared" si="138"/>
        <v>16048.027926000001</v>
      </c>
      <c r="V42" s="32">
        <f t="shared" si="138"/>
        <v>16393.042792</v>
      </c>
      <c r="W42" s="32">
        <f t="shared" si="138"/>
        <v>17112.092466000002</v>
      </c>
      <c r="X42" s="32">
        <f t="shared" si="138"/>
        <v>18379.296600000001</v>
      </c>
      <c r="Y42" s="78">
        <f t="shared" si="138"/>
        <v>20546.118935999999</v>
      </c>
      <c r="Z42" s="32">
        <f>N42*$N$27</f>
        <v>13724.659125100001</v>
      </c>
      <c r="AA42" s="32">
        <f t="shared" si="139"/>
        <v>14269.4279252</v>
      </c>
      <c r="AB42" s="32">
        <f t="shared" si="140"/>
        <v>15035.618882760002</v>
      </c>
      <c r="AC42" s="32">
        <f t="shared" si="141"/>
        <v>15541.631148000004</v>
      </c>
      <c r="AD42" s="32">
        <f t="shared" si="142"/>
        <v>16237.624880400004</v>
      </c>
      <c r="AE42" s="32">
        <f t="shared" si="143"/>
        <v>16676.954557900004</v>
      </c>
      <c r="AF42" s="32">
        <f t="shared" si="144"/>
        <v>17095.196410880002</v>
      </c>
      <c r="AG42" s="32">
        <f t="shared" si="145"/>
        <v>17492.350439340004</v>
      </c>
      <c r="AH42" s="32">
        <f t="shared" si="146"/>
        <v>17868.416643280001</v>
      </c>
      <c r="AI42" s="32">
        <f t="shared" si="147"/>
        <v>18652.180787940004</v>
      </c>
      <c r="AJ42" s="32">
        <f t="shared" si="148"/>
        <v>20033.433294000002</v>
      </c>
      <c r="AK42" s="32">
        <f t="shared" si="149"/>
        <v>22395.26964024</v>
      </c>
    </row>
    <row r="43" spans="1:37" x14ac:dyDescent="0.25">
      <c r="A43" s="1" t="s">
        <v>134</v>
      </c>
      <c r="B43" s="33">
        <f>SUM(B44:B45)</f>
        <v>28879.427499999998</v>
      </c>
      <c r="C43" s="33">
        <f t="shared" ref="C43:M43" si="150">SUM(C44:C45)</f>
        <v>30025.73</v>
      </c>
      <c r="D43" s="33">
        <f t="shared" si="150"/>
        <v>31637.948999999997</v>
      </c>
      <c r="E43" s="33">
        <f t="shared" si="150"/>
        <v>32702.820600000003</v>
      </c>
      <c r="F43" s="33">
        <f t="shared" si="150"/>
        <v>34167.210000000006</v>
      </c>
      <c r="G43" s="33">
        <f t="shared" si="150"/>
        <v>35091.647499999999</v>
      </c>
      <c r="H43" s="33">
        <f t="shared" si="150"/>
        <v>35971.712</v>
      </c>
      <c r="I43" s="33">
        <f t="shared" si="150"/>
        <v>36807.258999999998</v>
      </c>
      <c r="J43" s="33">
        <f t="shared" si="150"/>
        <v>37598.722000000002</v>
      </c>
      <c r="K43" s="33">
        <f t="shared" si="150"/>
        <v>39247.9185</v>
      </c>
      <c r="L43" s="33">
        <f t="shared" si="150"/>
        <v>42154.350000000006</v>
      </c>
      <c r="M43" s="83">
        <f t="shared" si="150"/>
        <v>47124.819600000003</v>
      </c>
      <c r="N43" s="33">
        <f>SUM(N44:N45)</f>
        <v>31478.575975</v>
      </c>
      <c r="O43" s="33">
        <f t="shared" ref="O43:Y43" si="151">SUM(O44:O45)</f>
        <v>32728.045700000002</v>
      </c>
      <c r="P43" s="33">
        <f t="shared" si="151"/>
        <v>34485.364409999995</v>
      </c>
      <c r="Q43" s="33">
        <f t="shared" si="151"/>
        <v>35646.074454000001</v>
      </c>
      <c r="R43" s="33">
        <f t="shared" si="151"/>
        <v>37242.258900000001</v>
      </c>
      <c r="S43" s="33">
        <f t="shared" si="151"/>
        <v>38249.895775000005</v>
      </c>
      <c r="T43" s="33">
        <f t="shared" si="151"/>
        <v>39209.166080000003</v>
      </c>
      <c r="U43" s="33">
        <f t="shared" si="151"/>
        <v>40119.91231</v>
      </c>
      <c r="V43" s="33">
        <f t="shared" si="151"/>
        <v>40982.606980000004</v>
      </c>
      <c r="W43" s="33">
        <f t="shared" si="151"/>
        <v>42780.231165000005</v>
      </c>
      <c r="X43" s="33">
        <f t="shared" si="151"/>
        <v>45948.241500000004</v>
      </c>
      <c r="Y43" s="83">
        <f t="shared" si="151"/>
        <v>51366.053364000007</v>
      </c>
      <c r="Z43" s="33">
        <f>SUM(Z44:Z45)</f>
        <v>34311.647812750001</v>
      </c>
      <c r="AA43" s="33">
        <f t="shared" ref="AA43:AK43" si="152">SUM(AA44:AA45)</f>
        <v>35673.569813000009</v>
      </c>
      <c r="AB43" s="33">
        <f t="shared" si="152"/>
        <v>37589.047206900002</v>
      </c>
      <c r="AC43" s="33">
        <f t="shared" si="152"/>
        <v>38854.22115486001</v>
      </c>
      <c r="AD43" s="33">
        <f t="shared" si="152"/>
        <v>40594.062201000008</v>
      </c>
      <c r="AE43" s="33">
        <f t="shared" si="152"/>
        <v>41692.386394750007</v>
      </c>
      <c r="AF43" s="33">
        <f t="shared" si="152"/>
        <v>42737.991027200005</v>
      </c>
      <c r="AG43" s="33">
        <f t="shared" si="152"/>
        <v>43730.704417900008</v>
      </c>
      <c r="AH43" s="33">
        <f t="shared" si="152"/>
        <v>44671.041608200008</v>
      </c>
      <c r="AI43" s="33">
        <f t="shared" si="152"/>
        <v>46630.451969850008</v>
      </c>
      <c r="AJ43" s="33">
        <f t="shared" si="152"/>
        <v>50083.583235000006</v>
      </c>
      <c r="AK43" s="83">
        <f t="shared" si="152"/>
        <v>55988.998166760008</v>
      </c>
    </row>
    <row r="44" spans="1:37" x14ac:dyDescent="0.25">
      <c r="A44" s="4" t="s">
        <v>143</v>
      </c>
      <c r="B44" s="32">
        <v>17327.656500000001</v>
      </c>
      <c r="C44" s="32">
        <v>18015.438000000002</v>
      </c>
      <c r="D44" s="32">
        <v>18982.769399999997</v>
      </c>
      <c r="E44" s="32">
        <v>19621.740600000001</v>
      </c>
      <c r="F44" s="32">
        <v>20500.326000000001</v>
      </c>
      <c r="G44" s="32">
        <v>21054.988499999999</v>
      </c>
      <c r="H44" s="32">
        <v>21583.0272</v>
      </c>
      <c r="I44" s="32">
        <v>22084.297599999998</v>
      </c>
      <c r="J44" s="32">
        <v>22559.233200000002</v>
      </c>
      <c r="K44" s="32">
        <v>23548.751100000001</v>
      </c>
      <c r="L44" s="32">
        <v>25292.61</v>
      </c>
      <c r="M44" s="78">
        <v>28275.169200000004</v>
      </c>
      <c r="N44" s="32">
        <f>B44*$N$27</f>
        <v>18887.145585000002</v>
      </c>
      <c r="O44" s="32">
        <f t="shared" ref="O44:Y45" si="153">C44*$N$27</f>
        <v>19636.827420000005</v>
      </c>
      <c r="P44" s="32">
        <f t="shared" si="153"/>
        <v>20691.218645999998</v>
      </c>
      <c r="Q44" s="32">
        <f t="shared" si="153"/>
        <v>21387.697254000002</v>
      </c>
      <c r="R44" s="32">
        <f t="shared" si="153"/>
        <v>22345.355340000002</v>
      </c>
      <c r="S44" s="32">
        <f t="shared" si="153"/>
        <v>22949.937465000003</v>
      </c>
      <c r="T44" s="32">
        <f t="shared" si="153"/>
        <v>23525.499648000001</v>
      </c>
      <c r="U44" s="32">
        <f t="shared" si="153"/>
        <v>24071.884384000001</v>
      </c>
      <c r="V44" s="32">
        <f t="shared" si="153"/>
        <v>24589.564188000004</v>
      </c>
      <c r="W44" s="32">
        <f t="shared" si="153"/>
        <v>25668.138699000003</v>
      </c>
      <c r="X44" s="32">
        <f t="shared" si="153"/>
        <v>27568.944900000002</v>
      </c>
      <c r="Y44" s="78">
        <f t="shared" si="153"/>
        <v>30819.934428000008</v>
      </c>
      <c r="Z44" s="32">
        <f>N44*$N$27</f>
        <v>20586.988687650002</v>
      </c>
      <c r="AA44" s="32">
        <f t="shared" ref="AA44:AA45" si="154">O44*$N$27</f>
        <v>21404.141887800008</v>
      </c>
      <c r="AB44" s="32">
        <f t="shared" ref="AB44:AB45" si="155">P44*$N$27</f>
        <v>22553.428324140001</v>
      </c>
      <c r="AC44" s="32">
        <f t="shared" ref="AC44:AC45" si="156">Q44*$N$27</f>
        <v>23312.590006860006</v>
      </c>
      <c r="AD44" s="32">
        <f t="shared" ref="AD44:AD45" si="157">R44*$N$27</f>
        <v>24356.437320600005</v>
      </c>
      <c r="AE44" s="32">
        <f t="shared" ref="AE44:AE45" si="158">S44*$N$27</f>
        <v>25015.431836850006</v>
      </c>
      <c r="AF44" s="32">
        <f t="shared" ref="AF44:AF45" si="159">T44*$N$27</f>
        <v>25642.794616320003</v>
      </c>
      <c r="AG44" s="32">
        <f t="shared" ref="AG44:AG45" si="160">U44*$N$27</f>
        <v>26238.353978560004</v>
      </c>
      <c r="AH44" s="32">
        <f t="shared" ref="AH44:AH45" si="161">V44*$N$27</f>
        <v>26802.624964920007</v>
      </c>
      <c r="AI44" s="32">
        <f t="shared" ref="AI44:AI45" si="162">W44*$N$27</f>
        <v>27978.271181910004</v>
      </c>
      <c r="AJ44" s="32">
        <f t="shared" ref="AJ44:AJ45" si="163">X44*$N$27</f>
        <v>30050.149941000003</v>
      </c>
      <c r="AK44" s="32">
        <f t="shared" ref="AK44:AK45" si="164">Y44*$N$27</f>
        <v>33593.728526520012</v>
      </c>
    </row>
    <row r="45" spans="1:37" x14ac:dyDescent="0.25">
      <c r="A45" s="4" t="s">
        <v>144</v>
      </c>
      <c r="B45" s="32">
        <v>11551.770999999999</v>
      </c>
      <c r="C45" s="32">
        <v>12010.291999999998</v>
      </c>
      <c r="D45" s="32">
        <v>12655.179599999999</v>
      </c>
      <c r="E45" s="32">
        <v>13081.080000000002</v>
      </c>
      <c r="F45" s="32">
        <v>13666.884000000002</v>
      </c>
      <c r="G45" s="32">
        <v>14036.659000000001</v>
      </c>
      <c r="H45" s="32">
        <v>14388.684799999999</v>
      </c>
      <c r="I45" s="32">
        <v>14722.9614</v>
      </c>
      <c r="J45" s="32">
        <v>15039.488799999999</v>
      </c>
      <c r="K45" s="32">
        <v>15699.1674</v>
      </c>
      <c r="L45" s="32">
        <v>16861.740000000002</v>
      </c>
      <c r="M45" s="78">
        <v>18849.650399999999</v>
      </c>
      <c r="N45" s="32">
        <f>B45*$N$27</f>
        <v>12591.43039</v>
      </c>
      <c r="O45" s="32">
        <f t="shared" si="153"/>
        <v>13091.218279999999</v>
      </c>
      <c r="P45" s="32">
        <f t="shared" si="153"/>
        <v>13794.145764000001</v>
      </c>
      <c r="Q45" s="32">
        <f t="shared" si="153"/>
        <v>14258.377200000003</v>
      </c>
      <c r="R45" s="32">
        <f t="shared" si="153"/>
        <v>14896.903560000002</v>
      </c>
      <c r="S45" s="32">
        <f t="shared" si="153"/>
        <v>15299.958310000004</v>
      </c>
      <c r="T45" s="32">
        <f t="shared" si="153"/>
        <v>15683.666432</v>
      </c>
      <c r="U45" s="32">
        <f t="shared" si="153"/>
        <v>16048.027926000001</v>
      </c>
      <c r="V45" s="32">
        <f t="shared" si="153"/>
        <v>16393.042792</v>
      </c>
      <c r="W45" s="32">
        <f t="shared" si="153"/>
        <v>17112.092466000002</v>
      </c>
      <c r="X45" s="32">
        <f t="shared" si="153"/>
        <v>18379.296600000001</v>
      </c>
      <c r="Y45" s="78">
        <f t="shared" si="153"/>
        <v>20546.118935999999</v>
      </c>
      <c r="Z45" s="32">
        <f>N45*$N$27</f>
        <v>13724.659125100001</v>
      </c>
      <c r="AA45" s="32">
        <f t="shared" si="154"/>
        <v>14269.4279252</v>
      </c>
      <c r="AB45" s="32">
        <f t="shared" si="155"/>
        <v>15035.618882760002</v>
      </c>
      <c r="AC45" s="32">
        <f t="shared" si="156"/>
        <v>15541.631148000004</v>
      </c>
      <c r="AD45" s="32">
        <f t="shared" si="157"/>
        <v>16237.624880400004</v>
      </c>
      <c r="AE45" s="32">
        <f t="shared" si="158"/>
        <v>16676.954557900004</v>
      </c>
      <c r="AF45" s="32">
        <f t="shared" si="159"/>
        <v>17095.196410880002</v>
      </c>
      <c r="AG45" s="32">
        <f t="shared" si="160"/>
        <v>17492.350439340004</v>
      </c>
      <c r="AH45" s="32">
        <f t="shared" si="161"/>
        <v>17868.416643280001</v>
      </c>
      <c r="AI45" s="32">
        <f t="shared" si="162"/>
        <v>18652.180787940004</v>
      </c>
      <c r="AJ45" s="32">
        <f t="shared" si="163"/>
        <v>20033.433294000002</v>
      </c>
      <c r="AK45" s="32">
        <f t="shared" si="164"/>
        <v>22395.26964024</v>
      </c>
    </row>
    <row r="46" spans="1:37" x14ac:dyDescent="0.25">
      <c r="A46" s="4"/>
      <c r="B46" s="32"/>
      <c r="C46" s="32"/>
      <c r="D46" s="32"/>
      <c r="E46" s="32"/>
      <c r="F46" s="32"/>
      <c r="G46" s="32"/>
      <c r="H46" s="32"/>
      <c r="I46" s="32"/>
      <c r="J46" s="32"/>
      <c r="K46" s="32"/>
      <c r="L46" s="32"/>
      <c r="M46" s="78"/>
      <c r="N46" s="32"/>
      <c r="O46" s="32"/>
      <c r="P46" s="32"/>
      <c r="Q46" s="32"/>
      <c r="R46" s="32"/>
      <c r="S46" s="32"/>
      <c r="T46" s="32"/>
      <c r="U46" s="32"/>
      <c r="V46" s="32"/>
      <c r="W46" s="32"/>
      <c r="X46" s="32"/>
      <c r="Y46" s="78"/>
      <c r="Z46" s="32"/>
      <c r="AA46" s="32"/>
      <c r="AB46" s="32"/>
      <c r="AC46" s="32"/>
      <c r="AD46" s="32"/>
      <c r="AE46" s="32"/>
      <c r="AF46" s="32"/>
      <c r="AG46" s="32"/>
      <c r="AH46" s="32"/>
      <c r="AI46" s="32"/>
      <c r="AJ46" s="32"/>
      <c r="AK46" s="78"/>
    </row>
    <row r="47" spans="1:37" x14ac:dyDescent="0.25">
      <c r="A47" s="4"/>
      <c r="B47" s="32"/>
      <c r="C47" s="32"/>
      <c r="D47" s="32"/>
      <c r="E47" s="32"/>
      <c r="F47" s="32"/>
      <c r="G47" s="32"/>
      <c r="H47" s="32"/>
      <c r="I47" s="32"/>
      <c r="J47" s="32"/>
      <c r="K47" s="32"/>
      <c r="L47" s="32"/>
      <c r="M47" s="78"/>
      <c r="N47" s="32"/>
      <c r="O47" s="32"/>
      <c r="P47" s="32"/>
      <c r="Q47" s="32"/>
      <c r="R47" s="32"/>
      <c r="S47" s="32"/>
      <c r="T47" s="32"/>
      <c r="U47" s="32"/>
      <c r="V47" s="32"/>
      <c r="W47" s="32"/>
      <c r="X47" s="32"/>
      <c r="Y47" s="78"/>
      <c r="Z47" s="32"/>
      <c r="AA47" s="32"/>
      <c r="AB47" s="32"/>
      <c r="AC47" s="32"/>
      <c r="AD47" s="32"/>
      <c r="AE47" s="32"/>
      <c r="AF47" s="32"/>
      <c r="AG47" s="32"/>
      <c r="AH47" s="32"/>
      <c r="AI47" s="32"/>
      <c r="AJ47" s="32"/>
      <c r="AK47" s="78"/>
    </row>
    <row r="48" spans="1:37" x14ac:dyDescent="0.25">
      <c r="A48" s="92" t="s">
        <v>101</v>
      </c>
      <c r="B48" s="11">
        <f t="shared" ref="B48:AK48" si="165">B49+B65+B81</f>
        <v>288794.27500000002</v>
      </c>
      <c r="C48" s="11">
        <f t="shared" si="165"/>
        <v>300257.3</v>
      </c>
      <c r="D48" s="11">
        <f t="shared" si="165"/>
        <v>316379.49</v>
      </c>
      <c r="E48" s="11">
        <f t="shared" si="165"/>
        <v>327028.8492</v>
      </c>
      <c r="F48" s="11">
        <f t="shared" si="165"/>
        <v>341672.1</v>
      </c>
      <c r="G48" s="11">
        <f t="shared" si="165"/>
        <v>350916.47499999998</v>
      </c>
      <c r="H48" s="11">
        <f t="shared" si="165"/>
        <v>359717.12</v>
      </c>
      <c r="I48" s="11">
        <f t="shared" si="165"/>
        <v>368074.6262</v>
      </c>
      <c r="J48" s="11">
        <f t="shared" si="165"/>
        <v>375987.25</v>
      </c>
      <c r="K48" s="11">
        <f t="shared" si="165"/>
        <v>392479.185</v>
      </c>
      <c r="L48" s="11">
        <f t="shared" si="165"/>
        <v>421543.5</v>
      </c>
      <c r="M48" s="80">
        <f t="shared" si="165"/>
        <v>471242.64720000001</v>
      </c>
      <c r="N48" s="11">
        <f t="shared" si="165"/>
        <v>314785.75975000003</v>
      </c>
      <c r="O48" s="11">
        <f t="shared" si="165"/>
        <v>327280.45699999999</v>
      </c>
      <c r="P48" s="11">
        <f t="shared" si="165"/>
        <v>344853.64410000003</v>
      </c>
      <c r="Q48" s="11">
        <f t="shared" si="165"/>
        <v>356461.44562800007</v>
      </c>
      <c r="R48" s="11">
        <f t="shared" si="165"/>
        <v>372422.58900000004</v>
      </c>
      <c r="S48" s="11">
        <f t="shared" si="165"/>
        <v>382498.95775</v>
      </c>
      <c r="T48" s="11">
        <f t="shared" si="165"/>
        <v>392091.66079999995</v>
      </c>
      <c r="U48" s="11">
        <f t="shared" si="165"/>
        <v>401201.342558</v>
      </c>
      <c r="V48" s="11">
        <f t="shared" si="165"/>
        <v>409826.10250000004</v>
      </c>
      <c r="W48" s="11">
        <f t="shared" si="165"/>
        <v>427802.31165000005</v>
      </c>
      <c r="X48" s="11">
        <f t="shared" si="165"/>
        <v>459482.41499999998</v>
      </c>
      <c r="Y48" s="80">
        <f t="shared" si="165"/>
        <v>513654.48544800002</v>
      </c>
      <c r="Z48" s="11">
        <f t="shared" si="165"/>
        <v>343116.47812749998</v>
      </c>
      <c r="AA48" s="11">
        <f t="shared" si="165"/>
        <v>356735.69813000003</v>
      </c>
      <c r="AB48" s="11">
        <f t="shared" si="165"/>
        <v>375890.47206900001</v>
      </c>
      <c r="AC48" s="11">
        <f t="shared" si="165"/>
        <v>388542.97573452001</v>
      </c>
      <c r="AD48" s="11">
        <f t="shared" si="165"/>
        <v>405940.62201000005</v>
      </c>
      <c r="AE48" s="11">
        <f t="shared" si="165"/>
        <v>416923.86394750001</v>
      </c>
      <c r="AF48" s="11">
        <f t="shared" si="165"/>
        <v>427379.91027200007</v>
      </c>
      <c r="AG48" s="11">
        <f t="shared" si="165"/>
        <v>437309.46338822006</v>
      </c>
      <c r="AH48" s="11">
        <f t="shared" si="165"/>
        <v>446710.45172500011</v>
      </c>
      <c r="AI48" s="11">
        <f t="shared" si="165"/>
        <v>466304.51969850005</v>
      </c>
      <c r="AJ48" s="11">
        <f t="shared" si="165"/>
        <v>500835.83235000004</v>
      </c>
      <c r="AK48" s="80">
        <f t="shared" si="165"/>
        <v>559883.38913832011</v>
      </c>
    </row>
    <row r="49" spans="1:37" x14ac:dyDescent="0.25">
      <c r="A49" s="5" t="s">
        <v>29</v>
      </c>
      <c r="B49" s="11">
        <f>B50+B53+B56+B59+B62</f>
        <v>181582.5</v>
      </c>
      <c r="C49" s="11">
        <f t="shared" ref="C49:M49" si="166">C50+C53+C56+C59+C62</f>
        <v>188790</v>
      </c>
      <c r="D49" s="11">
        <f t="shared" si="166"/>
        <v>198927</v>
      </c>
      <c r="E49" s="11">
        <f t="shared" si="166"/>
        <v>205624.92</v>
      </c>
      <c r="F49" s="11">
        <f t="shared" si="166"/>
        <v>214830</v>
      </c>
      <c r="G49" s="11">
        <f t="shared" si="166"/>
        <v>220642.5</v>
      </c>
      <c r="H49" s="11">
        <f t="shared" si="166"/>
        <v>226176</v>
      </c>
      <c r="I49" s="11">
        <f t="shared" si="166"/>
        <v>231430.86</v>
      </c>
      <c r="J49" s="11">
        <f t="shared" si="166"/>
        <v>236406.03</v>
      </c>
      <c r="K49" s="11">
        <f t="shared" si="166"/>
        <v>246775.5</v>
      </c>
      <c r="L49" s="11">
        <f t="shared" si="166"/>
        <v>265050</v>
      </c>
      <c r="M49" s="80">
        <f t="shared" si="166"/>
        <v>296298</v>
      </c>
      <c r="N49" s="11">
        <f>N50+N53+N56+N59+N62</f>
        <v>197924.92499999999</v>
      </c>
      <c r="O49" s="11">
        <f t="shared" ref="O49:Y49" si="167">O50+O53+O56+O59+O62</f>
        <v>205781.09999999998</v>
      </c>
      <c r="P49" s="11">
        <f t="shared" si="167"/>
        <v>216830.43</v>
      </c>
      <c r="Q49" s="11">
        <f t="shared" si="167"/>
        <v>224131.16280000002</v>
      </c>
      <c r="R49" s="11">
        <f t="shared" si="167"/>
        <v>234164.7</v>
      </c>
      <c r="S49" s="11">
        <f t="shared" si="167"/>
        <v>240500.32500000001</v>
      </c>
      <c r="T49" s="11">
        <f t="shared" si="167"/>
        <v>246531.84000000003</v>
      </c>
      <c r="U49" s="11">
        <f t="shared" si="167"/>
        <v>252259.63739999998</v>
      </c>
      <c r="V49" s="11">
        <f t="shared" si="167"/>
        <v>257682.57270000002</v>
      </c>
      <c r="W49" s="11">
        <f t="shared" si="167"/>
        <v>268985.29500000004</v>
      </c>
      <c r="X49" s="11">
        <f t="shared" si="167"/>
        <v>288904.5</v>
      </c>
      <c r="Y49" s="80">
        <f t="shared" si="167"/>
        <v>322964.82000000007</v>
      </c>
      <c r="Z49" s="11">
        <f>Z50+Z53+Z56+Z59+Z62</f>
        <v>215738.16824999999</v>
      </c>
      <c r="AA49" s="11">
        <f t="shared" ref="AA49:AK49" si="168">AA50+AA53+AA56+AA59+AA62</f>
        <v>224301.39900000003</v>
      </c>
      <c r="AB49" s="11">
        <f t="shared" si="168"/>
        <v>236345.16870000001</v>
      </c>
      <c r="AC49" s="11">
        <f t="shared" si="168"/>
        <v>244302.96745200004</v>
      </c>
      <c r="AD49" s="11">
        <f t="shared" si="168"/>
        <v>255239.52300000004</v>
      </c>
      <c r="AE49" s="11">
        <f t="shared" si="168"/>
        <v>262145.35425000003</v>
      </c>
      <c r="AF49" s="11">
        <f t="shared" si="168"/>
        <v>268719.70560000004</v>
      </c>
      <c r="AG49" s="11">
        <f t="shared" si="168"/>
        <v>274963.00476600003</v>
      </c>
      <c r="AH49" s="11">
        <f t="shared" si="168"/>
        <v>280874.00424300006</v>
      </c>
      <c r="AI49" s="11">
        <f t="shared" si="168"/>
        <v>293193.97155000002</v>
      </c>
      <c r="AJ49" s="11">
        <f t="shared" si="168"/>
        <v>314905.90500000003</v>
      </c>
      <c r="AK49" s="80">
        <f t="shared" si="168"/>
        <v>352031.65380000009</v>
      </c>
    </row>
    <row r="50" spans="1:37" x14ac:dyDescent="0.25">
      <c r="A50" s="1" t="s">
        <v>130</v>
      </c>
      <c r="B50" s="12">
        <f>SUM(B51:B52)</f>
        <v>54474.75</v>
      </c>
      <c r="C50" s="12">
        <f t="shared" ref="C50:M50" si="169">SUM(C51:C52)</f>
        <v>56637</v>
      </c>
      <c r="D50" s="12">
        <f t="shared" si="169"/>
        <v>59678.1</v>
      </c>
      <c r="E50" s="12">
        <f t="shared" si="169"/>
        <v>61686.9</v>
      </c>
      <c r="F50" s="12">
        <f t="shared" si="169"/>
        <v>64449</v>
      </c>
      <c r="G50" s="12">
        <f t="shared" si="169"/>
        <v>66192.75</v>
      </c>
      <c r="H50" s="12">
        <f t="shared" si="169"/>
        <v>67852.800000000003</v>
      </c>
      <c r="I50" s="12">
        <f t="shared" si="169"/>
        <v>69429.509999999995</v>
      </c>
      <c r="J50" s="12">
        <f t="shared" si="169"/>
        <v>70921.83</v>
      </c>
      <c r="K50" s="12">
        <f t="shared" si="169"/>
        <v>74032.650000000009</v>
      </c>
      <c r="L50" s="12">
        <f t="shared" si="169"/>
        <v>79515</v>
      </c>
      <c r="M50" s="83">
        <f t="shared" si="169"/>
        <v>88889.4</v>
      </c>
      <c r="N50" s="12">
        <f>SUM(N51:N52)</f>
        <v>59377.477500000008</v>
      </c>
      <c r="O50" s="12">
        <f t="shared" ref="O50:Y50" si="170">SUM(O51:O52)</f>
        <v>61734.33</v>
      </c>
      <c r="P50" s="12">
        <f t="shared" si="170"/>
        <v>65049.129000000001</v>
      </c>
      <c r="Q50" s="12">
        <f t="shared" si="170"/>
        <v>67238.721000000005</v>
      </c>
      <c r="R50" s="12">
        <f t="shared" si="170"/>
        <v>70249.41</v>
      </c>
      <c r="S50" s="12">
        <f t="shared" si="170"/>
        <v>72150.097500000003</v>
      </c>
      <c r="T50" s="12">
        <f t="shared" si="170"/>
        <v>73959.552000000011</v>
      </c>
      <c r="U50" s="12">
        <f t="shared" si="170"/>
        <v>75678.165900000007</v>
      </c>
      <c r="V50" s="12">
        <f t="shared" si="170"/>
        <v>77304.794700000013</v>
      </c>
      <c r="W50" s="12">
        <f t="shared" si="170"/>
        <v>80695.588500000013</v>
      </c>
      <c r="X50" s="12">
        <f t="shared" si="170"/>
        <v>86671.35</v>
      </c>
      <c r="Y50" s="83">
        <f t="shared" si="170"/>
        <v>96889.445999999996</v>
      </c>
      <c r="Z50" s="12">
        <f>SUM(Z51:Z52)</f>
        <v>64721.45047500002</v>
      </c>
      <c r="AA50" s="12">
        <f t="shared" ref="AA50:AK50" si="171">SUM(AA51:AA52)</f>
        <v>67290.419699999999</v>
      </c>
      <c r="AB50" s="12">
        <f t="shared" si="171"/>
        <v>70903.550610000006</v>
      </c>
      <c r="AC50" s="12">
        <f t="shared" si="171"/>
        <v>73290.205890000012</v>
      </c>
      <c r="AD50" s="12">
        <f t="shared" si="171"/>
        <v>76571.856899999999</v>
      </c>
      <c r="AE50" s="12">
        <f t="shared" si="171"/>
        <v>78643.606275000013</v>
      </c>
      <c r="AF50" s="12">
        <f t="shared" si="171"/>
        <v>80615.911680000019</v>
      </c>
      <c r="AG50" s="12">
        <f t="shared" si="171"/>
        <v>82489.200831000009</v>
      </c>
      <c r="AH50" s="12">
        <f t="shared" si="171"/>
        <v>84262.226223000005</v>
      </c>
      <c r="AI50" s="12">
        <f t="shared" si="171"/>
        <v>87958.191465000011</v>
      </c>
      <c r="AJ50" s="12">
        <f t="shared" si="171"/>
        <v>94471.771500000017</v>
      </c>
      <c r="AK50" s="83">
        <f t="shared" si="171"/>
        <v>105609.49614</v>
      </c>
    </row>
    <row r="51" spans="1:37" x14ac:dyDescent="0.25">
      <c r="A51" s="4" t="s">
        <v>136</v>
      </c>
      <c r="B51" s="30">
        <v>32684.850000000002</v>
      </c>
      <c r="C51" s="14">
        <v>33982.199999999997</v>
      </c>
      <c r="D51" s="14">
        <v>35806.86</v>
      </c>
      <c r="E51" s="14">
        <v>37012.14</v>
      </c>
      <c r="F51" s="14">
        <v>38669.399999999994</v>
      </c>
      <c r="G51" s="14">
        <v>39715.649999999994</v>
      </c>
      <c r="H51" s="14">
        <v>40711.68</v>
      </c>
      <c r="I51" s="14">
        <v>41657.49</v>
      </c>
      <c r="J51" s="14">
        <v>42553.08</v>
      </c>
      <c r="K51" s="14">
        <v>44419.590000000004</v>
      </c>
      <c r="L51" s="14">
        <v>47709</v>
      </c>
      <c r="M51" s="81">
        <v>53333.64</v>
      </c>
      <c r="N51" s="30">
        <f>B51*$N$27</f>
        <v>35626.486500000006</v>
      </c>
      <c r="O51" s="14">
        <f t="shared" ref="O51:Y52" si="172">C51*$N$27</f>
        <v>37040.597999999998</v>
      </c>
      <c r="P51" s="14">
        <f t="shared" si="172"/>
        <v>39029.477400000003</v>
      </c>
      <c r="Q51" s="14">
        <f t="shared" si="172"/>
        <v>40343.232600000003</v>
      </c>
      <c r="R51" s="14">
        <f t="shared" si="172"/>
        <v>42149.645999999993</v>
      </c>
      <c r="S51" s="14">
        <f t="shared" si="172"/>
        <v>43290.058499999999</v>
      </c>
      <c r="T51" s="14">
        <f t="shared" si="172"/>
        <v>44375.731200000002</v>
      </c>
      <c r="U51" s="14">
        <f t="shared" si="172"/>
        <v>45406.664100000002</v>
      </c>
      <c r="V51" s="14">
        <f t="shared" si="172"/>
        <v>46382.857200000006</v>
      </c>
      <c r="W51" s="14">
        <f t="shared" si="172"/>
        <v>48417.353100000008</v>
      </c>
      <c r="X51" s="14">
        <f t="shared" si="172"/>
        <v>52002.810000000005</v>
      </c>
      <c r="Y51" s="81">
        <f t="shared" si="172"/>
        <v>58133.667600000001</v>
      </c>
      <c r="Z51" s="30">
        <f>N51*$N$27</f>
        <v>38832.870285000012</v>
      </c>
      <c r="AA51" s="14">
        <f t="shared" ref="AA51:AA52" si="173">O51*$N$27</f>
        <v>40374.251819999998</v>
      </c>
      <c r="AB51" s="14">
        <f t="shared" ref="AB51:AB52" si="174">P51*$N$27</f>
        <v>42542.130366000005</v>
      </c>
      <c r="AC51" s="14">
        <f t="shared" ref="AC51:AC52" si="175">Q51*$N$27</f>
        <v>43974.123534000006</v>
      </c>
      <c r="AD51" s="14">
        <f t="shared" ref="AD51:AD52" si="176">R51*$N$27</f>
        <v>45943.114139999998</v>
      </c>
      <c r="AE51" s="14">
        <f t="shared" ref="AE51:AE52" si="177">S51*$N$27</f>
        <v>47186.163765000005</v>
      </c>
      <c r="AF51" s="14">
        <f t="shared" ref="AF51:AF52" si="178">T51*$N$27</f>
        <v>48369.547008000009</v>
      </c>
      <c r="AG51" s="14">
        <f t="shared" ref="AG51:AG52" si="179">U51*$N$27</f>
        <v>49493.263869000002</v>
      </c>
      <c r="AH51" s="14">
        <f t="shared" ref="AH51:AH52" si="180">V51*$N$27</f>
        <v>50557.314348000007</v>
      </c>
      <c r="AI51" s="14">
        <f t="shared" ref="AI51:AI52" si="181">W51*$N$27</f>
        <v>52774.914879000011</v>
      </c>
      <c r="AJ51" s="14">
        <f t="shared" ref="AJ51:AJ52" si="182">X51*$N$27</f>
        <v>56683.062900000012</v>
      </c>
      <c r="AK51" s="81">
        <f t="shared" ref="AK51:AK52" si="183">Y51*$N$27</f>
        <v>63365.697684000006</v>
      </c>
    </row>
    <row r="52" spans="1:37" x14ac:dyDescent="0.25">
      <c r="A52" s="4" t="s">
        <v>135</v>
      </c>
      <c r="B52" s="14">
        <v>21789.9</v>
      </c>
      <c r="C52" s="14">
        <v>22654.800000000003</v>
      </c>
      <c r="D52" s="14">
        <v>23871.239999999998</v>
      </c>
      <c r="E52" s="14">
        <v>24674.760000000002</v>
      </c>
      <c r="F52" s="14">
        <v>25779.600000000002</v>
      </c>
      <c r="G52" s="14">
        <v>26477.100000000002</v>
      </c>
      <c r="H52" s="14">
        <v>27141.120000000003</v>
      </c>
      <c r="I52" s="14">
        <v>27772.02</v>
      </c>
      <c r="J52" s="14">
        <v>28368.75</v>
      </c>
      <c r="K52" s="14">
        <v>29613.06</v>
      </c>
      <c r="L52" s="14">
        <v>31806</v>
      </c>
      <c r="M52" s="81">
        <v>35555.760000000002</v>
      </c>
      <c r="N52" s="14">
        <f>B52*$N$27</f>
        <v>23750.991000000002</v>
      </c>
      <c r="O52" s="14">
        <f t="shared" si="172"/>
        <v>24693.732000000004</v>
      </c>
      <c r="P52" s="14">
        <f t="shared" si="172"/>
        <v>26019.651600000001</v>
      </c>
      <c r="Q52" s="14">
        <f t="shared" si="172"/>
        <v>26895.488400000006</v>
      </c>
      <c r="R52" s="14">
        <f t="shared" si="172"/>
        <v>28099.764000000003</v>
      </c>
      <c r="S52" s="14">
        <f t="shared" si="172"/>
        <v>28860.039000000004</v>
      </c>
      <c r="T52" s="14">
        <f t="shared" si="172"/>
        <v>29583.820800000005</v>
      </c>
      <c r="U52" s="14">
        <f t="shared" si="172"/>
        <v>30271.501800000002</v>
      </c>
      <c r="V52" s="14">
        <f t="shared" si="172"/>
        <v>30921.937500000004</v>
      </c>
      <c r="W52" s="14">
        <f t="shared" si="172"/>
        <v>32278.235400000005</v>
      </c>
      <c r="X52" s="14">
        <f t="shared" si="172"/>
        <v>34668.54</v>
      </c>
      <c r="Y52" s="81">
        <f t="shared" si="172"/>
        <v>38755.778400000003</v>
      </c>
      <c r="Z52" s="14">
        <f>N52*$N$27</f>
        <v>25888.580190000004</v>
      </c>
      <c r="AA52" s="14">
        <f t="shared" si="173"/>
        <v>26916.167880000005</v>
      </c>
      <c r="AB52" s="14">
        <f t="shared" si="174"/>
        <v>28361.420244000004</v>
      </c>
      <c r="AC52" s="14">
        <f t="shared" si="175"/>
        <v>29316.08235600001</v>
      </c>
      <c r="AD52" s="14">
        <f t="shared" si="176"/>
        <v>30628.742760000005</v>
      </c>
      <c r="AE52" s="14">
        <f t="shared" si="177"/>
        <v>31457.442510000008</v>
      </c>
      <c r="AF52" s="14">
        <f t="shared" si="178"/>
        <v>32246.364672000007</v>
      </c>
      <c r="AG52" s="14">
        <f t="shared" si="179"/>
        <v>32995.936962000007</v>
      </c>
      <c r="AH52" s="14">
        <f t="shared" si="180"/>
        <v>33704.911875000005</v>
      </c>
      <c r="AI52" s="14">
        <f t="shared" si="181"/>
        <v>35183.276586000007</v>
      </c>
      <c r="AJ52" s="14">
        <f t="shared" si="182"/>
        <v>37788.708600000005</v>
      </c>
      <c r="AK52" s="81">
        <f t="shared" si="183"/>
        <v>42243.798456000004</v>
      </c>
    </row>
    <row r="53" spans="1:37" x14ac:dyDescent="0.25">
      <c r="A53" s="1" t="s">
        <v>131</v>
      </c>
      <c r="B53" s="12">
        <f>SUM(B54:B55)</f>
        <v>45395.625</v>
      </c>
      <c r="C53" s="12">
        <f t="shared" ref="C53:M53" si="184">SUM(C54:C55)</f>
        <v>47197.5</v>
      </c>
      <c r="D53" s="12">
        <f t="shared" si="184"/>
        <v>49731.75</v>
      </c>
      <c r="E53" s="12">
        <f t="shared" si="184"/>
        <v>51405.75</v>
      </c>
      <c r="F53" s="12">
        <f t="shared" si="184"/>
        <v>53707.5</v>
      </c>
      <c r="G53" s="12">
        <f t="shared" si="184"/>
        <v>55160.625</v>
      </c>
      <c r="H53" s="12">
        <f t="shared" si="184"/>
        <v>56543.999999999993</v>
      </c>
      <c r="I53" s="12">
        <f t="shared" si="184"/>
        <v>57857.625</v>
      </c>
      <c r="J53" s="12">
        <f t="shared" si="184"/>
        <v>59101.499999999993</v>
      </c>
      <c r="K53" s="12">
        <f t="shared" si="184"/>
        <v>61693.875</v>
      </c>
      <c r="L53" s="12">
        <f t="shared" si="184"/>
        <v>66262.5</v>
      </c>
      <c r="M53" s="83">
        <f t="shared" si="184"/>
        <v>74074.5</v>
      </c>
      <c r="N53" s="12">
        <f>SUM(N54:N55)</f>
        <v>49481.231249999997</v>
      </c>
      <c r="O53" s="12">
        <f t="shared" ref="O53:Y53" si="185">SUM(O54:O55)</f>
        <v>51445.275000000001</v>
      </c>
      <c r="P53" s="12">
        <f t="shared" si="185"/>
        <v>54207.607499999998</v>
      </c>
      <c r="Q53" s="12">
        <f t="shared" si="185"/>
        <v>56032.267500000009</v>
      </c>
      <c r="R53" s="12">
        <f t="shared" si="185"/>
        <v>58541.175000000003</v>
      </c>
      <c r="S53" s="12">
        <f t="shared" si="185"/>
        <v>60125.081250000003</v>
      </c>
      <c r="T53" s="12">
        <f t="shared" si="185"/>
        <v>61632.959999999999</v>
      </c>
      <c r="U53" s="12">
        <f t="shared" si="185"/>
        <v>63064.811249999999</v>
      </c>
      <c r="V53" s="12">
        <f t="shared" si="185"/>
        <v>64420.634999999995</v>
      </c>
      <c r="W53" s="12">
        <f t="shared" si="185"/>
        <v>67246.32375000001</v>
      </c>
      <c r="X53" s="12">
        <f t="shared" si="185"/>
        <v>72226.125</v>
      </c>
      <c r="Y53" s="83">
        <f t="shared" si="185"/>
        <v>80741.205000000002</v>
      </c>
      <c r="Z53" s="12">
        <f>SUM(Z54:Z55)</f>
        <v>53934.542062500004</v>
      </c>
      <c r="AA53" s="12">
        <f t="shared" ref="AA53:AK53" si="186">SUM(AA54:AA55)</f>
        <v>56075.349750000008</v>
      </c>
      <c r="AB53" s="12">
        <f t="shared" si="186"/>
        <v>59086.29217500001</v>
      </c>
      <c r="AC53" s="12">
        <f t="shared" si="186"/>
        <v>61075.171575000015</v>
      </c>
      <c r="AD53" s="12">
        <f t="shared" si="186"/>
        <v>63809.880750000011</v>
      </c>
      <c r="AE53" s="12">
        <f t="shared" si="186"/>
        <v>65536.338562500008</v>
      </c>
      <c r="AF53" s="12">
        <f t="shared" si="186"/>
        <v>67179.926399999997</v>
      </c>
      <c r="AG53" s="12">
        <f t="shared" si="186"/>
        <v>68740.644262500005</v>
      </c>
      <c r="AH53" s="12">
        <f t="shared" si="186"/>
        <v>70218.492150000005</v>
      </c>
      <c r="AI53" s="12">
        <f t="shared" si="186"/>
        <v>73298.492887500004</v>
      </c>
      <c r="AJ53" s="12">
        <f t="shared" si="186"/>
        <v>78726.476250000007</v>
      </c>
      <c r="AK53" s="83">
        <f t="shared" si="186"/>
        <v>88007.913450000022</v>
      </c>
    </row>
    <row r="54" spans="1:37" x14ac:dyDescent="0.25">
      <c r="A54" s="4" t="s">
        <v>137</v>
      </c>
      <c r="B54" s="14">
        <v>27237.375</v>
      </c>
      <c r="C54" s="14">
        <v>28318.5</v>
      </c>
      <c r="D54" s="14">
        <v>29839.050000000003</v>
      </c>
      <c r="E54" s="14">
        <v>30843.449999999997</v>
      </c>
      <c r="F54" s="14">
        <v>32224.5</v>
      </c>
      <c r="G54" s="14">
        <v>33096.375</v>
      </c>
      <c r="H54" s="14">
        <v>33926.399999999994</v>
      </c>
      <c r="I54" s="14">
        <v>34714.574999999997</v>
      </c>
      <c r="J54" s="14">
        <v>35460.899999999994</v>
      </c>
      <c r="K54" s="14">
        <v>37016.324999999997</v>
      </c>
      <c r="L54" s="14">
        <v>39757.5</v>
      </c>
      <c r="M54" s="81">
        <v>44444.7</v>
      </c>
      <c r="N54" s="14">
        <f>B54*$N$27</f>
        <v>29688.73875</v>
      </c>
      <c r="O54" s="14">
        <f t="shared" ref="O54:Y55" si="187">C54*$N$27</f>
        <v>30867.165000000001</v>
      </c>
      <c r="P54" s="14">
        <f t="shared" si="187"/>
        <v>32524.564500000004</v>
      </c>
      <c r="Q54" s="14">
        <f t="shared" si="187"/>
        <v>33619.360500000003</v>
      </c>
      <c r="R54" s="14">
        <f t="shared" si="187"/>
        <v>35124.705000000002</v>
      </c>
      <c r="S54" s="14">
        <f t="shared" si="187"/>
        <v>36075.048750000002</v>
      </c>
      <c r="T54" s="14">
        <f t="shared" si="187"/>
        <v>36979.775999999998</v>
      </c>
      <c r="U54" s="14">
        <f t="shared" si="187"/>
        <v>37838.886749999998</v>
      </c>
      <c r="V54" s="14">
        <f t="shared" si="187"/>
        <v>38652.380999999994</v>
      </c>
      <c r="W54" s="14">
        <f t="shared" si="187"/>
        <v>40347.794249999999</v>
      </c>
      <c r="X54" s="14">
        <f t="shared" si="187"/>
        <v>43335.675000000003</v>
      </c>
      <c r="Y54" s="81">
        <f t="shared" si="187"/>
        <v>48444.722999999998</v>
      </c>
      <c r="Z54" s="14">
        <f>N54*$N$27</f>
        <v>32360.725237500003</v>
      </c>
      <c r="AA54" s="14">
        <f t="shared" ref="AA54:AA55" si="188">O54*$N$27</f>
        <v>33645.209850000007</v>
      </c>
      <c r="AB54" s="14">
        <f t="shared" ref="AB54:AB55" si="189">P54*$N$27</f>
        <v>35451.77530500001</v>
      </c>
      <c r="AC54" s="14">
        <f t="shared" ref="AC54:AC55" si="190">Q54*$N$27</f>
        <v>36645.102945000006</v>
      </c>
      <c r="AD54" s="14">
        <f t="shared" ref="AD54:AD55" si="191">R54*$N$27</f>
        <v>38285.928450000007</v>
      </c>
      <c r="AE54" s="14">
        <f t="shared" ref="AE54:AE55" si="192">S54*$N$27</f>
        <v>39321.803137500006</v>
      </c>
      <c r="AF54" s="14">
        <f t="shared" ref="AF54:AF55" si="193">T54*$N$27</f>
        <v>40307.955840000002</v>
      </c>
      <c r="AG54" s="14">
        <f t="shared" ref="AG54:AG55" si="194">U54*$N$27</f>
        <v>41244.386557500002</v>
      </c>
      <c r="AH54" s="14">
        <f t="shared" ref="AH54:AH55" si="195">V54*$N$27</f>
        <v>42131.095289999997</v>
      </c>
      <c r="AI54" s="14">
        <f t="shared" ref="AI54:AI55" si="196">W54*$N$27</f>
        <v>43979.095732500005</v>
      </c>
      <c r="AJ54" s="14">
        <f t="shared" ref="AJ54:AJ55" si="197">X54*$N$27</f>
        <v>47235.885750000009</v>
      </c>
      <c r="AK54" s="81">
        <f t="shared" ref="AK54:AK55" si="198">Y54*$N$27</f>
        <v>52804.748070000001</v>
      </c>
    </row>
    <row r="55" spans="1:37" x14ac:dyDescent="0.25">
      <c r="A55" s="4" t="s">
        <v>138</v>
      </c>
      <c r="B55" s="14">
        <v>18158.25</v>
      </c>
      <c r="C55" s="14">
        <v>18879</v>
      </c>
      <c r="D55" s="14">
        <v>19892.699999999997</v>
      </c>
      <c r="E55" s="14">
        <v>20562.300000000003</v>
      </c>
      <c r="F55" s="14">
        <v>21483</v>
      </c>
      <c r="G55" s="14">
        <v>22064.25</v>
      </c>
      <c r="H55" s="14">
        <v>22617.599999999999</v>
      </c>
      <c r="I55" s="14">
        <v>23143.050000000003</v>
      </c>
      <c r="J55" s="14">
        <v>23640.6</v>
      </c>
      <c r="K55" s="14">
        <v>24677.550000000003</v>
      </c>
      <c r="L55" s="14">
        <v>26505</v>
      </c>
      <c r="M55" s="81">
        <v>29629.800000000003</v>
      </c>
      <c r="N55" s="14">
        <f>B55*$N$27</f>
        <v>19792.4925</v>
      </c>
      <c r="O55" s="14">
        <f t="shared" si="187"/>
        <v>20578.11</v>
      </c>
      <c r="P55" s="14">
        <f t="shared" si="187"/>
        <v>21683.042999999998</v>
      </c>
      <c r="Q55" s="14">
        <f t="shared" si="187"/>
        <v>22412.907000000007</v>
      </c>
      <c r="R55" s="14">
        <f t="shared" si="187"/>
        <v>23416.47</v>
      </c>
      <c r="S55" s="14">
        <f t="shared" si="187"/>
        <v>24050.032500000001</v>
      </c>
      <c r="T55" s="14">
        <f t="shared" si="187"/>
        <v>24653.184000000001</v>
      </c>
      <c r="U55" s="14">
        <f t="shared" si="187"/>
        <v>25225.924500000005</v>
      </c>
      <c r="V55" s="14">
        <f t="shared" si="187"/>
        <v>25768.254000000001</v>
      </c>
      <c r="W55" s="14">
        <f t="shared" si="187"/>
        <v>26898.529500000004</v>
      </c>
      <c r="X55" s="14">
        <f t="shared" si="187"/>
        <v>28890.45</v>
      </c>
      <c r="Y55" s="81">
        <f t="shared" si="187"/>
        <v>32296.482000000007</v>
      </c>
      <c r="Z55" s="14">
        <f>N55*$N$27</f>
        <v>21573.816825000002</v>
      </c>
      <c r="AA55" s="14">
        <f t="shared" si="188"/>
        <v>22430.139900000002</v>
      </c>
      <c r="AB55" s="14">
        <f t="shared" si="189"/>
        <v>23634.516869999999</v>
      </c>
      <c r="AC55" s="14">
        <f t="shared" si="190"/>
        <v>24430.068630000009</v>
      </c>
      <c r="AD55" s="14">
        <f t="shared" si="191"/>
        <v>25523.952300000004</v>
      </c>
      <c r="AE55" s="14">
        <f t="shared" si="192"/>
        <v>26214.535425000002</v>
      </c>
      <c r="AF55" s="14">
        <f t="shared" si="193"/>
        <v>26871.970560000002</v>
      </c>
      <c r="AG55" s="14">
        <f t="shared" si="194"/>
        <v>27496.257705000007</v>
      </c>
      <c r="AH55" s="14">
        <f t="shared" si="195"/>
        <v>28087.396860000004</v>
      </c>
      <c r="AI55" s="14">
        <f t="shared" si="196"/>
        <v>29319.397155000006</v>
      </c>
      <c r="AJ55" s="14">
        <f t="shared" si="197"/>
        <v>31490.590500000002</v>
      </c>
      <c r="AK55" s="81">
        <f t="shared" si="198"/>
        <v>35203.165380000013</v>
      </c>
    </row>
    <row r="56" spans="1:37" x14ac:dyDescent="0.25">
      <c r="A56" s="1" t="s">
        <v>132</v>
      </c>
      <c r="B56" s="12">
        <f>SUM(B57:B58)</f>
        <v>45395.625</v>
      </c>
      <c r="C56" s="12">
        <f t="shared" ref="C56:M56" si="199">SUM(C57:C58)</f>
        <v>47197.5</v>
      </c>
      <c r="D56" s="12">
        <f t="shared" si="199"/>
        <v>49731.75</v>
      </c>
      <c r="E56" s="12">
        <f t="shared" si="199"/>
        <v>51405.75</v>
      </c>
      <c r="F56" s="12">
        <f t="shared" si="199"/>
        <v>53707.5</v>
      </c>
      <c r="G56" s="12">
        <f t="shared" si="199"/>
        <v>55160.625</v>
      </c>
      <c r="H56" s="12">
        <f t="shared" si="199"/>
        <v>56543.999999999993</v>
      </c>
      <c r="I56" s="12">
        <f t="shared" si="199"/>
        <v>57857.625</v>
      </c>
      <c r="J56" s="12">
        <f t="shared" si="199"/>
        <v>59101.499999999993</v>
      </c>
      <c r="K56" s="12">
        <f t="shared" si="199"/>
        <v>61693.875</v>
      </c>
      <c r="L56" s="12">
        <f t="shared" si="199"/>
        <v>66262.5</v>
      </c>
      <c r="M56" s="83">
        <f t="shared" si="199"/>
        <v>74074.5</v>
      </c>
      <c r="N56" s="12">
        <f>SUM(N57:N58)</f>
        <v>49481.231249999997</v>
      </c>
      <c r="O56" s="12">
        <f t="shared" ref="O56:T56" si="200">SUM(O57:O58)</f>
        <v>51445.275000000001</v>
      </c>
      <c r="P56" s="12">
        <f t="shared" si="200"/>
        <v>54207.607499999998</v>
      </c>
      <c r="Q56" s="12">
        <f t="shared" si="200"/>
        <v>56032.267500000009</v>
      </c>
      <c r="R56" s="12">
        <f t="shared" si="200"/>
        <v>58541.175000000003</v>
      </c>
      <c r="S56" s="12">
        <f t="shared" si="200"/>
        <v>60125.081250000003</v>
      </c>
      <c r="T56" s="12">
        <f t="shared" si="200"/>
        <v>61632.959999999999</v>
      </c>
      <c r="U56" s="12">
        <f t="shared" ref="U56:Y56" si="201">SUM(U57:U58)</f>
        <v>63064.811249999999</v>
      </c>
      <c r="V56" s="12">
        <f t="shared" si="201"/>
        <v>64420.634999999995</v>
      </c>
      <c r="W56" s="12">
        <f t="shared" si="201"/>
        <v>67246.32375000001</v>
      </c>
      <c r="X56" s="12">
        <f t="shared" si="201"/>
        <v>72226.125</v>
      </c>
      <c r="Y56" s="83">
        <f t="shared" si="201"/>
        <v>80741.205000000002</v>
      </c>
      <c r="Z56" s="12">
        <f>SUM(Z57:Z58)</f>
        <v>53934.542062500004</v>
      </c>
      <c r="AA56" s="12">
        <f t="shared" ref="AA56:AF56" si="202">SUM(AA57:AA58)</f>
        <v>56075.349750000008</v>
      </c>
      <c r="AB56" s="12">
        <f t="shared" si="202"/>
        <v>59086.29217500001</v>
      </c>
      <c r="AC56" s="12">
        <f t="shared" si="202"/>
        <v>61075.171575000015</v>
      </c>
      <c r="AD56" s="12">
        <f t="shared" si="202"/>
        <v>63809.880750000011</v>
      </c>
      <c r="AE56" s="12">
        <f t="shared" si="202"/>
        <v>65536.338562500008</v>
      </c>
      <c r="AF56" s="12">
        <f t="shared" si="202"/>
        <v>67179.926399999997</v>
      </c>
      <c r="AG56" s="12">
        <f t="shared" ref="AG56:AK56" si="203">SUM(AG57:AG58)</f>
        <v>68740.644262500005</v>
      </c>
      <c r="AH56" s="12">
        <f t="shared" si="203"/>
        <v>70218.492150000005</v>
      </c>
      <c r="AI56" s="12">
        <f t="shared" si="203"/>
        <v>73298.492887500004</v>
      </c>
      <c r="AJ56" s="12">
        <f t="shared" si="203"/>
        <v>78726.476250000007</v>
      </c>
      <c r="AK56" s="83">
        <f t="shared" si="203"/>
        <v>88007.913450000022</v>
      </c>
    </row>
    <row r="57" spans="1:37" x14ac:dyDescent="0.25">
      <c r="A57" s="4" t="s">
        <v>139</v>
      </c>
      <c r="B57" s="14">
        <v>27237.375</v>
      </c>
      <c r="C57" s="14">
        <v>28318.5</v>
      </c>
      <c r="D57" s="14">
        <v>29839.050000000003</v>
      </c>
      <c r="E57" s="14">
        <v>30843.449999999997</v>
      </c>
      <c r="F57" s="14">
        <v>32224.5</v>
      </c>
      <c r="G57" s="14">
        <v>33096.375</v>
      </c>
      <c r="H57" s="14">
        <v>33926.399999999994</v>
      </c>
      <c r="I57" s="14">
        <v>34714.574999999997</v>
      </c>
      <c r="J57" s="14">
        <v>35460.899999999994</v>
      </c>
      <c r="K57" s="14">
        <v>37016.324999999997</v>
      </c>
      <c r="L57" s="14">
        <v>39757.5</v>
      </c>
      <c r="M57" s="81">
        <v>44444.7</v>
      </c>
      <c r="N57" s="14">
        <f>B57*$N$27</f>
        <v>29688.73875</v>
      </c>
      <c r="O57" s="14">
        <f t="shared" ref="O57:Y58" si="204">C57*$N$27</f>
        <v>30867.165000000001</v>
      </c>
      <c r="P57" s="14">
        <f t="shared" si="204"/>
        <v>32524.564500000004</v>
      </c>
      <c r="Q57" s="14">
        <f t="shared" si="204"/>
        <v>33619.360500000003</v>
      </c>
      <c r="R57" s="14">
        <f t="shared" si="204"/>
        <v>35124.705000000002</v>
      </c>
      <c r="S57" s="14">
        <f t="shared" si="204"/>
        <v>36075.048750000002</v>
      </c>
      <c r="T57" s="14">
        <f t="shared" si="204"/>
        <v>36979.775999999998</v>
      </c>
      <c r="U57" s="14">
        <f t="shared" si="204"/>
        <v>37838.886749999998</v>
      </c>
      <c r="V57" s="14">
        <f t="shared" si="204"/>
        <v>38652.380999999994</v>
      </c>
      <c r="W57" s="14">
        <f t="shared" si="204"/>
        <v>40347.794249999999</v>
      </c>
      <c r="X57" s="14">
        <f t="shared" si="204"/>
        <v>43335.675000000003</v>
      </c>
      <c r="Y57" s="81">
        <f t="shared" si="204"/>
        <v>48444.722999999998</v>
      </c>
      <c r="Z57" s="14">
        <f>N57*$N$27</f>
        <v>32360.725237500003</v>
      </c>
      <c r="AA57" s="14">
        <f t="shared" ref="AA57:AA58" si="205">O57*$N$27</f>
        <v>33645.209850000007</v>
      </c>
      <c r="AB57" s="14">
        <f t="shared" ref="AB57:AB58" si="206">P57*$N$27</f>
        <v>35451.77530500001</v>
      </c>
      <c r="AC57" s="14">
        <f t="shared" ref="AC57:AC58" si="207">Q57*$N$27</f>
        <v>36645.102945000006</v>
      </c>
      <c r="AD57" s="14">
        <f t="shared" ref="AD57:AD58" si="208">R57*$N$27</f>
        <v>38285.928450000007</v>
      </c>
      <c r="AE57" s="14">
        <f t="shared" ref="AE57:AE58" si="209">S57*$N$27</f>
        <v>39321.803137500006</v>
      </c>
      <c r="AF57" s="14">
        <f t="shared" ref="AF57:AF58" si="210">T57*$N$27</f>
        <v>40307.955840000002</v>
      </c>
      <c r="AG57" s="14">
        <f t="shared" ref="AG57:AG58" si="211">U57*$N$27</f>
        <v>41244.386557500002</v>
      </c>
      <c r="AH57" s="14">
        <f t="shared" ref="AH57:AH58" si="212">V57*$N$27</f>
        <v>42131.095289999997</v>
      </c>
      <c r="AI57" s="14">
        <f t="shared" ref="AI57:AI58" si="213">W57*$N$27</f>
        <v>43979.095732500005</v>
      </c>
      <c r="AJ57" s="14">
        <f t="shared" ref="AJ57:AJ58" si="214">X57*$N$27</f>
        <v>47235.885750000009</v>
      </c>
      <c r="AK57" s="81">
        <f t="shared" ref="AK57:AK58" si="215">Y57*$N$27</f>
        <v>52804.748070000001</v>
      </c>
    </row>
    <row r="58" spans="1:37" x14ac:dyDescent="0.25">
      <c r="A58" s="4" t="s">
        <v>140</v>
      </c>
      <c r="B58" s="14">
        <v>18158.25</v>
      </c>
      <c r="C58" s="14">
        <v>18879</v>
      </c>
      <c r="D58" s="14">
        <v>19892.699999999997</v>
      </c>
      <c r="E58" s="14">
        <v>20562.300000000003</v>
      </c>
      <c r="F58" s="14">
        <v>21483</v>
      </c>
      <c r="G58" s="14">
        <v>22064.25</v>
      </c>
      <c r="H58" s="14">
        <v>22617.599999999999</v>
      </c>
      <c r="I58" s="14">
        <v>23143.050000000003</v>
      </c>
      <c r="J58" s="14">
        <v>23640.6</v>
      </c>
      <c r="K58" s="14">
        <v>24677.550000000003</v>
      </c>
      <c r="L58" s="14">
        <v>26505</v>
      </c>
      <c r="M58" s="81">
        <v>29629.800000000003</v>
      </c>
      <c r="N58" s="14">
        <f>B58*$N$27</f>
        <v>19792.4925</v>
      </c>
      <c r="O58" s="14">
        <f t="shared" si="204"/>
        <v>20578.11</v>
      </c>
      <c r="P58" s="14">
        <f t="shared" si="204"/>
        <v>21683.042999999998</v>
      </c>
      <c r="Q58" s="14">
        <f t="shared" si="204"/>
        <v>22412.907000000007</v>
      </c>
      <c r="R58" s="14">
        <f t="shared" si="204"/>
        <v>23416.47</v>
      </c>
      <c r="S58" s="14">
        <f t="shared" si="204"/>
        <v>24050.032500000001</v>
      </c>
      <c r="T58" s="14">
        <f t="shared" si="204"/>
        <v>24653.184000000001</v>
      </c>
      <c r="U58" s="14">
        <f t="shared" si="204"/>
        <v>25225.924500000005</v>
      </c>
      <c r="V58" s="14">
        <f t="shared" si="204"/>
        <v>25768.254000000001</v>
      </c>
      <c r="W58" s="14">
        <f t="shared" si="204"/>
        <v>26898.529500000004</v>
      </c>
      <c r="X58" s="14">
        <f t="shared" si="204"/>
        <v>28890.45</v>
      </c>
      <c r="Y58" s="81">
        <f t="shared" si="204"/>
        <v>32296.482000000007</v>
      </c>
      <c r="Z58" s="14">
        <f>N58*$N$27</f>
        <v>21573.816825000002</v>
      </c>
      <c r="AA58" s="14">
        <f t="shared" si="205"/>
        <v>22430.139900000002</v>
      </c>
      <c r="AB58" s="14">
        <f t="shared" si="206"/>
        <v>23634.516869999999</v>
      </c>
      <c r="AC58" s="14">
        <f t="shared" si="207"/>
        <v>24430.068630000009</v>
      </c>
      <c r="AD58" s="14">
        <f t="shared" si="208"/>
        <v>25523.952300000004</v>
      </c>
      <c r="AE58" s="14">
        <f t="shared" si="209"/>
        <v>26214.535425000002</v>
      </c>
      <c r="AF58" s="14">
        <f t="shared" si="210"/>
        <v>26871.970560000002</v>
      </c>
      <c r="AG58" s="14">
        <f t="shared" si="211"/>
        <v>27496.257705000007</v>
      </c>
      <c r="AH58" s="14">
        <f t="shared" si="212"/>
        <v>28087.396860000004</v>
      </c>
      <c r="AI58" s="14">
        <f t="shared" si="213"/>
        <v>29319.397155000006</v>
      </c>
      <c r="AJ58" s="14">
        <f t="shared" si="214"/>
        <v>31490.590500000002</v>
      </c>
      <c r="AK58" s="81">
        <f t="shared" si="215"/>
        <v>35203.165380000013</v>
      </c>
    </row>
    <row r="59" spans="1:37" x14ac:dyDescent="0.25">
      <c r="A59" s="1" t="s">
        <v>133</v>
      </c>
      <c r="B59" s="12">
        <f>SUM(B60:B61)</f>
        <v>18158.25</v>
      </c>
      <c r="C59" s="12">
        <f t="shared" ref="C59:M59" si="216">SUM(C60:C61)</f>
        <v>18879</v>
      </c>
      <c r="D59" s="12">
        <f t="shared" si="216"/>
        <v>19892.699999999997</v>
      </c>
      <c r="E59" s="12">
        <f t="shared" si="216"/>
        <v>20563.260000000002</v>
      </c>
      <c r="F59" s="12">
        <f t="shared" si="216"/>
        <v>21483</v>
      </c>
      <c r="G59" s="12">
        <f t="shared" si="216"/>
        <v>22064.25</v>
      </c>
      <c r="H59" s="12">
        <f t="shared" si="216"/>
        <v>22617.599999999999</v>
      </c>
      <c r="I59" s="12">
        <f t="shared" si="216"/>
        <v>23143.049999999996</v>
      </c>
      <c r="J59" s="12">
        <f t="shared" si="216"/>
        <v>23640.6</v>
      </c>
      <c r="K59" s="12">
        <f t="shared" si="216"/>
        <v>24677.550000000003</v>
      </c>
      <c r="L59" s="12">
        <f t="shared" si="216"/>
        <v>26505</v>
      </c>
      <c r="M59" s="83">
        <f t="shared" si="216"/>
        <v>29629.800000000003</v>
      </c>
      <c r="N59" s="12">
        <f>SUM(N60:N61)</f>
        <v>19792.4925</v>
      </c>
      <c r="O59" s="12">
        <f t="shared" ref="O59:S59" si="217">SUM(O60:O61)</f>
        <v>20578.11</v>
      </c>
      <c r="P59" s="12">
        <f t="shared" si="217"/>
        <v>21683.043000000001</v>
      </c>
      <c r="Q59" s="12">
        <f t="shared" si="217"/>
        <v>22413.953400000006</v>
      </c>
      <c r="R59" s="12">
        <f t="shared" si="217"/>
        <v>23416.47</v>
      </c>
      <c r="S59" s="12">
        <f t="shared" si="217"/>
        <v>24050.032500000001</v>
      </c>
      <c r="T59" s="12">
        <f t="shared" ref="T59:Y59" si="218">SUM(T60:T61)</f>
        <v>24653.184000000001</v>
      </c>
      <c r="U59" s="12">
        <f t="shared" si="218"/>
        <v>25225.924500000001</v>
      </c>
      <c r="V59" s="12">
        <f t="shared" si="218"/>
        <v>25768.254000000001</v>
      </c>
      <c r="W59" s="12">
        <f t="shared" si="218"/>
        <v>26898.529500000004</v>
      </c>
      <c r="X59" s="12">
        <f t="shared" si="218"/>
        <v>28890.45</v>
      </c>
      <c r="Y59" s="83">
        <f t="shared" si="218"/>
        <v>32296.482000000004</v>
      </c>
      <c r="Z59" s="12">
        <f>SUM(Z60:Z61)</f>
        <v>21573.816825000002</v>
      </c>
      <c r="AA59" s="12">
        <f t="shared" ref="AA59:AE59" si="219">SUM(AA60:AA61)</f>
        <v>22430.139900000002</v>
      </c>
      <c r="AB59" s="12">
        <f t="shared" si="219"/>
        <v>23634.516870000003</v>
      </c>
      <c r="AC59" s="12">
        <f t="shared" si="219"/>
        <v>24431.209206000007</v>
      </c>
      <c r="AD59" s="12">
        <f t="shared" si="219"/>
        <v>25523.952300000004</v>
      </c>
      <c r="AE59" s="12">
        <f t="shared" si="219"/>
        <v>26214.535425000005</v>
      </c>
      <c r="AF59" s="12">
        <f t="shared" ref="AF59:AK59" si="220">SUM(AF60:AF61)</f>
        <v>26871.970560000005</v>
      </c>
      <c r="AG59" s="12">
        <f t="shared" si="220"/>
        <v>27496.257705000004</v>
      </c>
      <c r="AH59" s="12">
        <f t="shared" si="220"/>
        <v>28087.396860000008</v>
      </c>
      <c r="AI59" s="12">
        <f t="shared" si="220"/>
        <v>29319.397155000006</v>
      </c>
      <c r="AJ59" s="12">
        <f t="shared" si="220"/>
        <v>31490.590500000006</v>
      </c>
      <c r="AK59" s="83">
        <f t="shared" si="220"/>
        <v>35203.165380000006</v>
      </c>
    </row>
    <row r="60" spans="1:37" x14ac:dyDescent="0.25">
      <c r="A60" s="4" t="s">
        <v>141</v>
      </c>
      <c r="B60" s="14">
        <v>10894.95</v>
      </c>
      <c r="C60" s="14">
        <v>11327.400000000001</v>
      </c>
      <c r="D60" s="14">
        <v>11935.619999999999</v>
      </c>
      <c r="E60" s="14">
        <v>12337.380000000001</v>
      </c>
      <c r="F60" s="14">
        <v>12889.800000000001</v>
      </c>
      <c r="G60" s="31">
        <v>13238.550000000001</v>
      </c>
      <c r="H60" s="14">
        <v>13570.560000000001</v>
      </c>
      <c r="I60" s="14">
        <v>13885.829999999998</v>
      </c>
      <c r="J60" s="14">
        <v>14184.36</v>
      </c>
      <c r="K60" s="14">
        <v>14806.53</v>
      </c>
      <c r="L60" s="14">
        <v>15903</v>
      </c>
      <c r="M60" s="81">
        <v>17777.88</v>
      </c>
      <c r="N60" s="14">
        <f>B60*$N$27</f>
        <v>11875.495500000001</v>
      </c>
      <c r="O60" s="14">
        <f t="shared" ref="O60:Y61" si="221">C60*$N$27</f>
        <v>12346.866000000002</v>
      </c>
      <c r="P60" s="14">
        <f t="shared" si="221"/>
        <v>13009.825800000001</v>
      </c>
      <c r="Q60" s="14">
        <f t="shared" si="221"/>
        <v>13447.744200000003</v>
      </c>
      <c r="R60" s="14">
        <f t="shared" si="221"/>
        <v>14049.882000000001</v>
      </c>
      <c r="S60" s="31">
        <f t="shared" si="221"/>
        <v>14430.019500000002</v>
      </c>
      <c r="T60" s="14">
        <f t="shared" si="221"/>
        <v>14791.910400000002</v>
      </c>
      <c r="U60" s="14">
        <f t="shared" si="221"/>
        <v>15135.554699999999</v>
      </c>
      <c r="V60" s="14">
        <f t="shared" si="221"/>
        <v>15460.952400000002</v>
      </c>
      <c r="W60" s="14">
        <f t="shared" si="221"/>
        <v>16139.117700000003</v>
      </c>
      <c r="X60" s="14">
        <f t="shared" si="221"/>
        <v>17334.27</v>
      </c>
      <c r="Y60" s="81">
        <f t="shared" si="221"/>
        <v>19377.889200000001</v>
      </c>
      <c r="Z60" s="14">
        <f>N60*$N$27</f>
        <v>12944.290095000002</v>
      </c>
      <c r="AA60" s="14">
        <f t="shared" ref="AA60:AA61" si="222">O60*$N$27</f>
        <v>13458.083940000002</v>
      </c>
      <c r="AB60" s="14">
        <f t="shared" ref="AB60:AB61" si="223">P60*$N$27</f>
        <v>14180.710122000002</v>
      </c>
      <c r="AC60" s="14">
        <f t="shared" ref="AC60:AC61" si="224">Q60*$N$27</f>
        <v>14658.041178000005</v>
      </c>
      <c r="AD60" s="14">
        <f t="shared" ref="AD60:AD61" si="225">R60*$N$27</f>
        <v>15314.371380000002</v>
      </c>
      <c r="AE60" s="31">
        <f t="shared" ref="AE60:AE61" si="226">S60*$N$27</f>
        <v>15728.721255000004</v>
      </c>
      <c r="AF60" s="14">
        <f t="shared" ref="AF60:AF61" si="227">T60*$N$27</f>
        <v>16123.182336000003</v>
      </c>
      <c r="AG60" s="14">
        <f t="shared" ref="AG60:AG61" si="228">U60*$N$27</f>
        <v>16497.754623000001</v>
      </c>
      <c r="AH60" s="14">
        <f t="shared" ref="AH60:AH61" si="229">V60*$N$27</f>
        <v>16852.438116000005</v>
      </c>
      <c r="AI60" s="14">
        <f t="shared" ref="AI60:AI61" si="230">W60*$N$27</f>
        <v>17591.638293000004</v>
      </c>
      <c r="AJ60" s="14">
        <f t="shared" ref="AJ60:AJ61" si="231">X60*$N$27</f>
        <v>18894.354300000003</v>
      </c>
      <c r="AK60" s="81">
        <f t="shared" ref="AK60:AK61" si="232">Y60*$N$27</f>
        <v>21121.899228000002</v>
      </c>
    </row>
    <row r="61" spans="1:37" x14ac:dyDescent="0.25">
      <c r="A61" s="4" t="s">
        <v>142</v>
      </c>
      <c r="B61" s="14">
        <v>7263.2999999999993</v>
      </c>
      <c r="C61" s="14">
        <v>7551.5999999999995</v>
      </c>
      <c r="D61" s="14">
        <v>7957.08</v>
      </c>
      <c r="E61" s="14">
        <v>8225.880000000001</v>
      </c>
      <c r="F61" s="14">
        <v>8593.2000000000007</v>
      </c>
      <c r="G61" s="31">
        <v>8825.7000000000007</v>
      </c>
      <c r="H61" s="14">
        <v>9047.0399999999991</v>
      </c>
      <c r="I61" s="14">
        <v>9257.2199999999993</v>
      </c>
      <c r="J61" s="14">
        <v>9456.24</v>
      </c>
      <c r="K61" s="14">
        <v>9871.02</v>
      </c>
      <c r="L61" s="14">
        <v>10602</v>
      </c>
      <c r="M61" s="81">
        <v>11851.92</v>
      </c>
      <c r="N61" s="14">
        <f>B61*$N$27</f>
        <v>7916.9969999999994</v>
      </c>
      <c r="O61" s="14">
        <f t="shared" si="221"/>
        <v>8231.2440000000006</v>
      </c>
      <c r="P61" s="14">
        <f t="shared" si="221"/>
        <v>8673.217200000001</v>
      </c>
      <c r="Q61" s="14">
        <f t="shared" si="221"/>
        <v>8966.2092000000011</v>
      </c>
      <c r="R61" s="14">
        <f t="shared" si="221"/>
        <v>9366.5880000000016</v>
      </c>
      <c r="S61" s="31">
        <f t="shared" si="221"/>
        <v>9620.0130000000008</v>
      </c>
      <c r="T61" s="14">
        <f t="shared" si="221"/>
        <v>9861.2736000000004</v>
      </c>
      <c r="U61" s="14">
        <f t="shared" si="221"/>
        <v>10090.3698</v>
      </c>
      <c r="V61" s="14">
        <f t="shared" si="221"/>
        <v>10307.301600000001</v>
      </c>
      <c r="W61" s="14">
        <f t="shared" si="221"/>
        <v>10759.411800000002</v>
      </c>
      <c r="X61" s="14">
        <f t="shared" si="221"/>
        <v>11556.18</v>
      </c>
      <c r="Y61" s="81">
        <f t="shared" si="221"/>
        <v>12918.5928</v>
      </c>
      <c r="Z61" s="14">
        <f>N61*$N$27</f>
        <v>8629.5267299999996</v>
      </c>
      <c r="AA61" s="14">
        <f t="shared" si="222"/>
        <v>8972.0559600000015</v>
      </c>
      <c r="AB61" s="14">
        <f t="shared" si="223"/>
        <v>9453.8067480000009</v>
      </c>
      <c r="AC61" s="14">
        <f t="shared" si="224"/>
        <v>9773.1680280000019</v>
      </c>
      <c r="AD61" s="14">
        <f t="shared" si="225"/>
        <v>10209.580920000002</v>
      </c>
      <c r="AE61" s="31">
        <f t="shared" si="226"/>
        <v>10485.814170000001</v>
      </c>
      <c r="AF61" s="14">
        <f t="shared" si="227"/>
        <v>10748.788224000002</v>
      </c>
      <c r="AG61" s="14">
        <f t="shared" si="228"/>
        <v>10998.503082000001</v>
      </c>
      <c r="AH61" s="14">
        <f t="shared" si="229"/>
        <v>11234.958744000001</v>
      </c>
      <c r="AI61" s="14">
        <f t="shared" si="230"/>
        <v>11727.758862000002</v>
      </c>
      <c r="AJ61" s="14">
        <f t="shared" si="231"/>
        <v>12596.236200000001</v>
      </c>
      <c r="AK61" s="81">
        <f t="shared" si="232"/>
        <v>14081.266152000002</v>
      </c>
    </row>
    <row r="62" spans="1:37" x14ac:dyDescent="0.25">
      <c r="A62" s="1" t="s">
        <v>134</v>
      </c>
      <c r="B62" s="12">
        <f t="shared" ref="B62:M62" si="233">SUM(B63:B64)</f>
        <v>18158.25</v>
      </c>
      <c r="C62" s="12">
        <f t="shared" si="233"/>
        <v>18879</v>
      </c>
      <c r="D62" s="12">
        <f t="shared" si="233"/>
        <v>19892.699999999997</v>
      </c>
      <c r="E62" s="12">
        <f t="shared" si="233"/>
        <v>20563.260000000002</v>
      </c>
      <c r="F62" s="12">
        <f t="shared" si="233"/>
        <v>21483</v>
      </c>
      <c r="G62" s="12">
        <f t="shared" si="233"/>
        <v>22064.25</v>
      </c>
      <c r="H62" s="12">
        <f t="shared" si="233"/>
        <v>22617.599999999999</v>
      </c>
      <c r="I62" s="12">
        <f t="shared" si="233"/>
        <v>23143.049999999996</v>
      </c>
      <c r="J62" s="12">
        <f t="shared" si="233"/>
        <v>23640.6</v>
      </c>
      <c r="K62" s="12">
        <f t="shared" si="233"/>
        <v>24677.550000000003</v>
      </c>
      <c r="L62" s="12">
        <f t="shared" si="233"/>
        <v>26505</v>
      </c>
      <c r="M62" s="83">
        <f t="shared" si="233"/>
        <v>29629.800000000003</v>
      </c>
      <c r="N62" s="12">
        <f t="shared" ref="N62:Y62" si="234">SUM(N63:N64)</f>
        <v>19792.4925</v>
      </c>
      <c r="O62" s="12">
        <f t="shared" si="234"/>
        <v>20578.11</v>
      </c>
      <c r="P62" s="12">
        <f t="shared" si="234"/>
        <v>21683.043000000001</v>
      </c>
      <c r="Q62" s="12">
        <f t="shared" si="234"/>
        <v>22413.953400000006</v>
      </c>
      <c r="R62" s="12">
        <f t="shared" si="234"/>
        <v>23416.47</v>
      </c>
      <c r="S62" s="12">
        <f t="shared" si="234"/>
        <v>24050.032500000001</v>
      </c>
      <c r="T62" s="12">
        <f t="shared" si="234"/>
        <v>24653.184000000001</v>
      </c>
      <c r="U62" s="12">
        <f t="shared" si="234"/>
        <v>25225.924500000001</v>
      </c>
      <c r="V62" s="12">
        <f t="shared" si="234"/>
        <v>25768.254000000001</v>
      </c>
      <c r="W62" s="12">
        <f t="shared" si="234"/>
        <v>26898.529500000004</v>
      </c>
      <c r="X62" s="12">
        <f t="shared" si="234"/>
        <v>28890.45</v>
      </c>
      <c r="Y62" s="83">
        <f t="shared" si="234"/>
        <v>32296.482000000004</v>
      </c>
      <c r="Z62" s="12">
        <f t="shared" ref="Z62:AK62" si="235">SUM(Z63:Z64)</f>
        <v>21573.816825000002</v>
      </c>
      <c r="AA62" s="12">
        <f t="shared" si="235"/>
        <v>22430.139900000002</v>
      </c>
      <c r="AB62" s="12">
        <f t="shared" si="235"/>
        <v>23634.516870000003</v>
      </c>
      <c r="AC62" s="12">
        <f t="shared" si="235"/>
        <v>24431.209206000007</v>
      </c>
      <c r="AD62" s="12">
        <f t="shared" si="235"/>
        <v>25523.952300000004</v>
      </c>
      <c r="AE62" s="12">
        <f t="shared" si="235"/>
        <v>26214.535425000005</v>
      </c>
      <c r="AF62" s="12">
        <f t="shared" si="235"/>
        <v>26871.970560000005</v>
      </c>
      <c r="AG62" s="12">
        <f t="shared" si="235"/>
        <v>27496.257705000004</v>
      </c>
      <c r="AH62" s="12">
        <f t="shared" si="235"/>
        <v>28087.396860000008</v>
      </c>
      <c r="AI62" s="12">
        <f t="shared" si="235"/>
        <v>29319.397155000006</v>
      </c>
      <c r="AJ62" s="12">
        <f t="shared" si="235"/>
        <v>31490.590500000006</v>
      </c>
      <c r="AK62" s="83">
        <f t="shared" si="235"/>
        <v>35203.165380000006</v>
      </c>
    </row>
    <row r="63" spans="1:37" x14ac:dyDescent="0.25">
      <c r="A63" s="4" t="s">
        <v>143</v>
      </c>
      <c r="B63" s="14">
        <v>10894.95</v>
      </c>
      <c r="C63" s="14">
        <v>11327.400000000001</v>
      </c>
      <c r="D63" s="14">
        <v>11935.619999999999</v>
      </c>
      <c r="E63" s="14">
        <v>12337.380000000001</v>
      </c>
      <c r="F63" s="14">
        <v>12889.800000000001</v>
      </c>
      <c r="G63" s="14">
        <v>13238.550000000001</v>
      </c>
      <c r="H63" s="14">
        <v>13570.560000000001</v>
      </c>
      <c r="I63" s="14">
        <v>13885.829999999998</v>
      </c>
      <c r="J63" s="14">
        <v>14184.36</v>
      </c>
      <c r="K63" s="14">
        <v>14806.53</v>
      </c>
      <c r="L63" s="14">
        <v>15903</v>
      </c>
      <c r="M63" s="81">
        <v>17777.88</v>
      </c>
      <c r="N63" s="14">
        <f>B63*$N$27</f>
        <v>11875.495500000001</v>
      </c>
      <c r="O63" s="14">
        <f t="shared" ref="O63:Y64" si="236">C63*$N$27</f>
        <v>12346.866000000002</v>
      </c>
      <c r="P63" s="14">
        <f t="shared" si="236"/>
        <v>13009.825800000001</v>
      </c>
      <c r="Q63" s="14">
        <f t="shared" si="236"/>
        <v>13447.744200000003</v>
      </c>
      <c r="R63" s="14">
        <f t="shared" si="236"/>
        <v>14049.882000000001</v>
      </c>
      <c r="S63" s="14">
        <f t="shared" si="236"/>
        <v>14430.019500000002</v>
      </c>
      <c r="T63" s="14">
        <f t="shared" si="236"/>
        <v>14791.910400000002</v>
      </c>
      <c r="U63" s="14">
        <f t="shared" si="236"/>
        <v>15135.554699999999</v>
      </c>
      <c r="V63" s="14">
        <f t="shared" si="236"/>
        <v>15460.952400000002</v>
      </c>
      <c r="W63" s="14">
        <f t="shared" si="236"/>
        <v>16139.117700000003</v>
      </c>
      <c r="X63" s="14">
        <f t="shared" si="236"/>
        <v>17334.27</v>
      </c>
      <c r="Y63" s="81">
        <f t="shared" si="236"/>
        <v>19377.889200000001</v>
      </c>
      <c r="Z63" s="14">
        <f>N63*$N$27</f>
        <v>12944.290095000002</v>
      </c>
      <c r="AA63" s="14">
        <f t="shared" ref="AA63:AA64" si="237">O63*$N$27</f>
        <v>13458.083940000002</v>
      </c>
      <c r="AB63" s="14">
        <f t="shared" ref="AB63:AB64" si="238">P63*$N$27</f>
        <v>14180.710122000002</v>
      </c>
      <c r="AC63" s="14">
        <f t="shared" ref="AC63:AC64" si="239">Q63*$N$27</f>
        <v>14658.041178000005</v>
      </c>
      <c r="AD63" s="14">
        <f t="shared" ref="AD63:AD64" si="240">R63*$N$27</f>
        <v>15314.371380000002</v>
      </c>
      <c r="AE63" s="14">
        <f t="shared" ref="AE63:AE64" si="241">S63*$N$27</f>
        <v>15728.721255000004</v>
      </c>
      <c r="AF63" s="14">
        <f t="shared" ref="AF63:AF64" si="242">T63*$N$27</f>
        <v>16123.182336000003</v>
      </c>
      <c r="AG63" s="14">
        <f t="shared" ref="AG63:AG64" si="243">U63*$N$27</f>
        <v>16497.754623000001</v>
      </c>
      <c r="AH63" s="14">
        <f t="shared" ref="AH63:AH64" si="244">V63*$N$27</f>
        <v>16852.438116000005</v>
      </c>
      <c r="AI63" s="14">
        <f t="shared" ref="AI63:AI64" si="245">W63*$N$27</f>
        <v>17591.638293000004</v>
      </c>
      <c r="AJ63" s="14">
        <f t="shared" ref="AJ63:AJ64" si="246">X63*$N$27</f>
        <v>18894.354300000003</v>
      </c>
      <c r="AK63" s="81">
        <f t="shared" ref="AK63:AK64" si="247">Y63*$N$27</f>
        <v>21121.899228000002</v>
      </c>
    </row>
    <row r="64" spans="1:37" x14ac:dyDescent="0.25">
      <c r="A64" s="4" t="s">
        <v>144</v>
      </c>
      <c r="B64" s="30">
        <v>7263.2999999999993</v>
      </c>
      <c r="C64" s="30">
        <v>7551.5999999999995</v>
      </c>
      <c r="D64" s="30">
        <v>7957.08</v>
      </c>
      <c r="E64" s="30">
        <v>8225.880000000001</v>
      </c>
      <c r="F64" s="14">
        <v>8593.2000000000007</v>
      </c>
      <c r="G64" s="14">
        <v>8825.7000000000007</v>
      </c>
      <c r="H64" s="14">
        <v>9047.0399999999991</v>
      </c>
      <c r="I64" s="30">
        <v>9257.2199999999993</v>
      </c>
      <c r="J64" s="30">
        <v>9456.24</v>
      </c>
      <c r="K64" s="30">
        <v>9871.02</v>
      </c>
      <c r="L64" s="30">
        <v>10602</v>
      </c>
      <c r="M64" s="84">
        <v>11851.92</v>
      </c>
      <c r="N64" s="30">
        <f>B64*$N$27</f>
        <v>7916.9969999999994</v>
      </c>
      <c r="O64" s="30">
        <f t="shared" si="236"/>
        <v>8231.2440000000006</v>
      </c>
      <c r="P64" s="30">
        <f t="shared" si="236"/>
        <v>8673.217200000001</v>
      </c>
      <c r="Q64" s="30">
        <f t="shared" si="236"/>
        <v>8966.2092000000011</v>
      </c>
      <c r="R64" s="14">
        <f t="shared" si="236"/>
        <v>9366.5880000000016</v>
      </c>
      <c r="S64" s="14">
        <f t="shared" si="236"/>
        <v>9620.0130000000008</v>
      </c>
      <c r="T64" s="14">
        <f t="shared" si="236"/>
        <v>9861.2736000000004</v>
      </c>
      <c r="U64" s="30">
        <f t="shared" si="236"/>
        <v>10090.3698</v>
      </c>
      <c r="V64" s="30">
        <f t="shared" si="236"/>
        <v>10307.301600000001</v>
      </c>
      <c r="W64" s="30">
        <f t="shared" si="236"/>
        <v>10759.411800000002</v>
      </c>
      <c r="X64" s="30">
        <f t="shared" si="236"/>
        <v>11556.18</v>
      </c>
      <c r="Y64" s="84">
        <f t="shared" si="236"/>
        <v>12918.5928</v>
      </c>
      <c r="Z64" s="30">
        <f>N64*$N$27</f>
        <v>8629.5267299999996</v>
      </c>
      <c r="AA64" s="30">
        <f t="shared" si="237"/>
        <v>8972.0559600000015</v>
      </c>
      <c r="AB64" s="30">
        <f t="shared" si="238"/>
        <v>9453.8067480000009</v>
      </c>
      <c r="AC64" s="30">
        <f t="shared" si="239"/>
        <v>9773.1680280000019</v>
      </c>
      <c r="AD64" s="14">
        <f t="shared" si="240"/>
        <v>10209.580920000002</v>
      </c>
      <c r="AE64" s="14">
        <f t="shared" si="241"/>
        <v>10485.814170000001</v>
      </c>
      <c r="AF64" s="14">
        <f t="shared" si="242"/>
        <v>10748.788224000002</v>
      </c>
      <c r="AG64" s="30">
        <f t="shared" si="243"/>
        <v>10998.503082000001</v>
      </c>
      <c r="AH64" s="30">
        <f t="shared" si="244"/>
        <v>11234.958744000001</v>
      </c>
      <c r="AI64" s="30">
        <f t="shared" si="245"/>
        <v>11727.758862000002</v>
      </c>
      <c r="AJ64" s="30">
        <f t="shared" si="246"/>
        <v>12596.236200000001</v>
      </c>
      <c r="AK64" s="84">
        <f t="shared" si="247"/>
        <v>14081.266152000002</v>
      </c>
    </row>
    <row r="65" spans="1:37" x14ac:dyDescent="0.25">
      <c r="A65" s="5" t="s">
        <v>30</v>
      </c>
      <c r="B65" s="11">
        <f>B66+B69+B72+B75+B78</f>
        <v>56427.25</v>
      </c>
      <c r="C65" s="11">
        <f t="shared" ref="C65:M65" si="248">C66+C69+C72+C75+C78</f>
        <v>58666.999999999993</v>
      </c>
      <c r="D65" s="11">
        <f t="shared" si="248"/>
        <v>61817.099999999991</v>
      </c>
      <c r="E65" s="11">
        <f t="shared" si="248"/>
        <v>63897.9</v>
      </c>
      <c r="F65" s="11">
        <f t="shared" si="248"/>
        <v>66759</v>
      </c>
      <c r="G65" s="11">
        <f t="shared" si="248"/>
        <v>68565.25</v>
      </c>
      <c r="H65" s="11">
        <f t="shared" si="248"/>
        <v>70284.799999999988</v>
      </c>
      <c r="I65" s="11">
        <f t="shared" si="248"/>
        <v>71917.649999999994</v>
      </c>
      <c r="J65" s="11">
        <f t="shared" si="248"/>
        <v>73463.8</v>
      </c>
      <c r="K65" s="11">
        <f t="shared" si="248"/>
        <v>76686.149999999994</v>
      </c>
      <c r="L65" s="11">
        <f t="shared" si="248"/>
        <v>82365</v>
      </c>
      <c r="M65" s="80">
        <f t="shared" si="248"/>
        <v>92075.4</v>
      </c>
      <c r="N65" s="11">
        <f>N66+N69+N72+N75+N78</f>
        <v>61505.702500000014</v>
      </c>
      <c r="O65" s="11">
        <f t="shared" ref="O65:Y65" si="249">O66+O69+O72+O75+O78</f>
        <v>63947.030000000006</v>
      </c>
      <c r="P65" s="11">
        <f t="shared" si="249"/>
        <v>67380.638999999996</v>
      </c>
      <c r="Q65" s="11">
        <f t="shared" si="249"/>
        <v>69648.71100000001</v>
      </c>
      <c r="R65" s="11">
        <f t="shared" si="249"/>
        <v>72767.31</v>
      </c>
      <c r="S65" s="11">
        <f t="shared" si="249"/>
        <v>74736.122500000012</v>
      </c>
      <c r="T65" s="11">
        <f t="shared" si="249"/>
        <v>76610.432000000001</v>
      </c>
      <c r="U65" s="11">
        <f t="shared" si="249"/>
        <v>78390.238500000007</v>
      </c>
      <c r="V65" s="11">
        <f t="shared" si="249"/>
        <v>80075.542000000001</v>
      </c>
      <c r="W65" s="11">
        <f t="shared" si="249"/>
        <v>83587.9035</v>
      </c>
      <c r="X65" s="11">
        <f t="shared" si="249"/>
        <v>89777.85</v>
      </c>
      <c r="Y65" s="80">
        <f t="shared" si="249"/>
        <v>100362.18599999999</v>
      </c>
      <c r="Z65" s="11">
        <f>Z66+Z69+Z72+Z75+Z78</f>
        <v>67041.215725000016</v>
      </c>
      <c r="AA65" s="11">
        <f t="shared" ref="AA65:AK65" si="250">AA66+AA69+AA72+AA75+AA78</f>
        <v>69702.262700000007</v>
      </c>
      <c r="AB65" s="11">
        <f t="shared" si="250"/>
        <v>73444.896509999991</v>
      </c>
      <c r="AC65" s="11">
        <f t="shared" si="250"/>
        <v>75917.094990000012</v>
      </c>
      <c r="AD65" s="11">
        <f t="shared" si="250"/>
        <v>79316.367900000012</v>
      </c>
      <c r="AE65" s="11">
        <f t="shared" si="250"/>
        <v>81462.373525000003</v>
      </c>
      <c r="AF65" s="11">
        <f t="shared" si="250"/>
        <v>83505.370880000002</v>
      </c>
      <c r="AG65" s="11">
        <f t="shared" si="250"/>
        <v>85445.359964999996</v>
      </c>
      <c r="AH65" s="11">
        <f t="shared" si="250"/>
        <v>87282.340780000028</v>
      </c>
      <c r="AI65" s="11">
        <f t="shared" si="250"/>
        <v>91110.81481500002</v>
      </c>
      <c r="AJ65" s="11">
        <f t="shared" si="250"/>
        <v>97857.856500000024</v>
      </c>
      <c r="AK65" s="80">
        <f t="shared" si="250"/>
        <v>109394.78274</v>
      </c>
    </row>
    <row r="66" spans="1:37" x14ac:dyDescent="0.25">
      <c r="A66" s="1" t="s">
        <v>130</v>
      </c>
      <c r="B66" s="33">
        <f t="shared" ref="B66:M66" si="251">SUM(B67:B68)</f>
        <v>16928.174999999999</v>
      </c>
      <c r="C66" s="33">
        <f t="shared" si="251"/>
        <v>17600.099999999999</v>
      </c>
      <c r="D66" s="33">
        <f t="shared" si="251"/>
        <v>18545.129999999997</v>
      </c>
      <c r="E66" s="33">
        <f t="shared" si="251"/>
        <v>19169.37</v>
      </c>
      <c r="F66" s="33">
        <f t="shared" si="251"/>
        <v>20027.699999999997</v>
      </c>
      <c r="G66" s="12">
        <f t="shared" si="251"/>
        <v>20569.574999999997</v>
      </c>
      <c r="H66" s="12">
        <f t="shared" si="251"/>
        <v>21085.439999999999</v>
      </c>
      <c r="I66" s="12">
        <f t="shared" si="251"/>
        <v>21575.294999999998</v>
      </c>
      <c r="J66" s="12">
        <f t="shared" si="251"/>
        <v>22039.14</v>
      </c>
      <c r="K66" s="12">
        <f t="shared" si="251"/>
        <v>23005.844999999998</v>
      </c>
      <c r="L66" s="12">
        <f t="shared" si="251"/>
        <v>24709.5</v>
      </c>
      <c r="M66" s="83">
        <f t="shared" si="251"/>
        <v>27622.62</v>
      </c>
      <c r="N66" s="33">
        <f t="shared" ref="N66:Y66" si="252">SUM(N67:N68)</f>
        <v>18451.710749999998</v>
      </c>
      <c r="O66" s="33">
        <f t="shared" si="252"/>
        <v>19184.109</v>
      </c>
      <c r="P66" s="33">
        <f t="shared" si="252"/>
        <v>20214.191699999999</v>
      </c>
      <c r="Q66" s="33">
        <f t="shared" si="252"/>
        <v>20894.613299999997</v>
      </c>
      <c r="R66" s="33">
        <f t="shared" si="252"/>
        <v>21830.192999999999</v>
      </c>
      <c r="S66" s="12">
        <f t="shared" si="252"/>
        <v>22420.836750000002</v>
      </c>
      <c r="T66" s="12">
        <f t="shared" si="252"/>
        <v>22983.1296</v>
      </c>
      <c r="U66" s="12">
        <f t="shared" si="252"/>
        <v>23517.071550000001</v>
      </c>
      <c r="V66" s="12">
        <f t="shared" si="252"/>
        <v>24022.662600000003</v>
      </c>
      <c r="W66" s="12">
        <f t="shared" si="252"/>
        <v>25076.371050000002</v>
      </c>
      <c r="X66" s="12">
        <f t="shared" si="252"/>
        <v>26933.355000000003</v>
      </c>
      <c r="Y66" s="83">
        <f t="shared" si="252"/>
        <v>30108.6558</v>
      </c>
      <c r="Z66" s="33">
        <f t="shared" ref="Z66:AK66" si="253">SUM(Z67:Z68)</f>
        <v>20112.364717500001</v>
      </c>
      <c r="AA66" s="33">
        <f t="shared" si="253"/>
        <v>20910.678810000001</v>
      </c>
      <c r="AB66" s="33">
        <f t="shared" si="253"/>
        <v>22033.468953000003</v>
      </c>
      <c r="AC66" s="33">
        <f t="shared" si="253"/>
        <v>22775.128496999998</v>
      </c>
      <c r="AD66" s="33">
        <f t="shared" si="253"/>
        <v>23794.910370000001</v>
      </c>
      <c r="AE66" s="12">
        <f t="shared" si="253"/>
        <v>24438.712057500001</v>
      </c>
      <c r="AF66" s="12">
        <f t="shared" si="253"/>
        <v>25051.611263999999</v>
      </c>
      <c r="AG66" s="12">
        <f t="shared" si="253"/>
        <v>25633.6079895</v>
      </c>
      <c r="AH66" s="12">
        <f t="shared" si="253"/>
        <v>26184.702234000004</v>
      </c>
      <c r="AI66" s="12">
        <f t="shared" si="253"/>
        <v>27333.2444445</v>
      </c>
      <c r="AJ66" s="12">
        <f t="shared" si="253"/>
        <v>29357.356950000005</v>
      </c>
      <c r="AK66" s="83">
        <f t="shared" si="253"/>
        <v>32818.434822000003</v>
      </c>
    </row>
    <row r="67" spans="1:37" x14ac:dyDescent="0.25">
      <c r="A67" s="4" t="s">
        <v>136</v>
      </c>
      <c r="B67" s="34">
        <v>10156.904999999999</v>
      </c>
      <c r="C67" s="34">
        <v>10560.06</v>
      </c>
      <c r="D67" s="34">
        <v>11127.077999999998</v>
      </c>
      <c r="E67" s="34">
        <v>11501.621999999999</v>
      </c>
      <c r="F67" s="34">
        <v>12016.619999999999</v>
      </c>
      <c r="G67" s="14">
        <v>12341.744999999999</v>
      </c>
      <c r="H67" s="14">
        <v>12651.263999999999</v>
      </c>
      <c r="I67" s="14">
        <v>12945.177</v>
      </c>
      <c r="J67" s="14">
        <v>13223.484</v>
      </c>
      <c r="K67" s="14">
        <v>13803.507</v>
      </c>
      <c r="L67" s="14">
        <v>14825.699999999999</v>
      </c>
      <c r="M67" s="81">
        <v>16573.572</v>
      </c>
      <c r="N67" s="34">
        <f>B67*$N$27</f>
        <v>11071.026449999999</v>
      </c>
      <c r="O67" s="34">
        <f t="shared" ref="O67:Y68" si="254">C67*$N$27</f>
        <v>11510.465400000001</v>
      </c>
      <c r="P67" s="34">
        <f t="shared" si="254"/>
        <v>12128.515019999999</v>
      </c>
      <c r="Q67" s="34">
        <f t="shared" si="254"/>
        <v>12536.767980000001</v>
      </c>
      <c r="R67" s="34">
        <f t="shared" si="254"/>
        <v>13098.1158</v>
      </c>
      <c r="S67" s="14">
        <f t="shared" si="254"/>
        <v>13452.502049999999</v>
      </c>
      <c r="T67" s="14">
        <f t="shared" si="254"/>
        <v>13789.877759999999</v>
      </c>
      <c r="U67" s="14">
        <f t="shared" si="254"/>
        <v>14110.24293</v>
      </c>
      <c r="V67" s="14">
        <f t="shared" si="254"/>
        <v>14413.597560000002</v>
      </c>
      <c r="W67" s="14">
        <f t="shared" si="254"/>
        <v>15045.822630000001</v>
      </c>
      <c r="X67" s="14">
        <f t="shared" si="254"/>
        <v>16160.013000000001</v>
      </c>
      <c r="Y67" s="81">
        <f t="shared" si="254"/>
        <v>18065.193480000002</v>
      </c>
      <c r="Z67" s="34">
        <f>N67*$N$27</f>
        <v>12067.418830500001</v>
      </c>
      <c r="AA67" s="34">
        <f t="shared" ref="AA67:AA68" si="255">O67*$N$27</f>
        <v>12546.407286000001</v>
      </c>
      <c r="AB67" s="34">
        <f t="shared" ref="AB67:AB68" si="256">P67*$N$27</f>
        <v>13220.081371799999</v>
      </c>
      <c r="AC67" s="34">
        <f t="shared" ref="AC67:AC68" si="257">Q67*$N$27</f>
        <v>13665.077098200001</v>
      </c>
      <c r="AD67" s="34">
        <f t="shared" ref="AD67:AD68" si="258">R67*$N$27</f>
        <v>14276.946222</v>
      </c>
      <c r="AE67" s="14">
        <f t="shared" ref="AE67:AE68" si="259">S67*$N$27</f>
        <v>14663.2272345</v>
      </c>
      <c r="AF67" s="14">
        <f t="shared" ref="AF67:AF68" si="260">T67*$N$27</f>
        <v>15030.9667584</v>
      </c>
      <c r="AG67" s="14">
        <f t="shared" ref="AG67:AG68" si="261">U67*$N$27</f>
        <v>15380.164793700002</v>
      </c>
      <c r="AH67" s="14">
        <f t="shared" ref="AH67:AH68" si="262">V67*$N$27</f>
        <v>15710.821340400003</v>
      </c>
      <c r="AI67" s="14">
        <f t="shared" ref="AI67:AI68" si="263">W67*$N$27</f>
        <v>16399.946666700002</v>
      </c>
      <c r="AJ67" s="14">
        <f t="shared" ref="AJ67:AJ68" si="264">X67*$N$27</f>
        <v>17614.414170000004</v>
      </c>
      <c r="AK67" s="81">
        <f t="shared" ref="AK67:AK68" si="265">Y67*$N$27</f>
        <v>19691.060893200003</v>
      </c>
    </row>
    <row r="68" spans="1:37" x14ac:dyDescent="0.25">
      <c r="A68" s="4" t="s">
        <v>135</v>
      </c>
      <c r="B68" s="34">
        <v>6771.2699999999995</v>
      </c>
      <c r="C68" s="34">
        <v>7040.0399999999991</v>
      </c>
      <c r="D68" s="34">
        <v>7418.0520000000006</v>
      </c>
      <c r="E68" s="34">
        <v>7667.7479999999987</v>
      </c>
      <c r="F68" s="34">
        <v>8011.079999999999</v>
      </c>
      <c r="G68" s="14">
        <v>8227.83</v>
      </c>
      <c r="H68" s="14">
        <v>8434.1759999999995</v>
      </c>
      <c r="I68" s="14">
        <v>8630.1180000000004</v>
      </c>
      <c r="J68" s="14">
        <v>8815.6560000000009</v>
      </c>
      <c r="K68" s="14">
        <v>9202.3379999999979</v>
      </c>
      <c r="L68" s="14">
        <v>9883.7999999999993</v>
      </c>
      <c r="M68" s="81">
        <v>11049.047999999999</v>
      </c>
      <c r="N68" s="34">
        <f>B68*$N$27</f>
        <v>7380.6842999999999</v>
      </c>
      <c r="O68" s="34">
        <f t="shared" si="254"/>
        <v>7673.6435999999994</v>
      </c>
      <c r="P68" s="34">
        <f t="shared" si="254"/>
        <v>8085.6766800000014</v>
      </c>
      <c r="Q68" s="34">
        <f t="shared" si="254"/>
        <v>8357.8453199999985</v>
      </c>
      <c r="R68" s="34">
        <f t="shared" si="254"/>
        <v>8732.0771999999997</v>
      </c>
      <c r="S68" s="14">
        <f t="shared" si="254"/>
        <v>8968.3347000000012</v>
      </c>
      <c r="T68" s="14">
        <f t="shared" si="254"/>
        <v>9193.2518400000008</v>
      </c>
      <c r="U68" s="14">
        <f t="shared" si="254"/>
        <v>9406.8286200000002</v>
      </c>
      <c r="V68" s="14">
        <f t="shared" si="254"/>
        <v>9609.0650400000013</v>
      </c>
      <c r="W68" s="14">
        <f t="shared" si="254"/>
        <v>10030.548419999999</v>
      </c>
      <c r="X68" s="14">
        <f t="shared" si="254"/>
        <v>10773.342000000001</v>
      </c>
      <c r="Y68" s="81">
        <f t="shared" si="254"/>
        <v>12043.462320000001</v>
      </c>
      <c r="Z68" s="34">
        <f>N68*$N$27</f>
        <v>8044.9458870000008</v>
      </c>
      <c r="AA68" s="34">
        <f t="shared" si="255"/>
        <v>8364.2715239999998</v>
      </c>
      <c r="AB68" s="34">
        <f t="shared" si="256"/>
        <v>8813.3875812000024</v>
      </c>
      <c r="AC68" s="34">
        <f t="shared" si="257"/>
        <v>9110.0513987999984</v>
      </c>
      <c r="AD68" s="34">
        <f t="shared" si="258"/>
        <v>9517.9641480000009</v>
      </c>
      <c r="AE68" s="14">
        <f t="shared" si="259"/>
        <v>9775.4848230000025</v>
      </c>
      <c r="AF68" s="14">
        <f t="shared" si="260"/>
        <v>10020.644505600001</v>
      </c>
      <c r="AG68" s="14">
        <f t="shared" si="261"/>
        <v>10253.4431958</v>
      </c>
      <c r="AH68" s="14">
        <f t="shared" si="262"/>
        <v>10473.880893600002</v>
      </c>
      <c r="AI68" s="14">
        <f t="shared" si="263"/>
        <v>10933.2977778</v>
      </c>
      <c r="AJ68" s="14">
        <f t="shared" si="264"/>
        <v>11742.942780000001</v>
      </c>
      <c r="AK68" s="81">
        <f t="shared" si="265"/>
        <v>13127.373928800002</v>
      </c>
    </row>
    <row r="69" spans="1:37" x14ac:dyDescent="0.25">
      <c r="A69" s="1" t="s">
        <v>131</v>
      </c>
      <c r="B69" s="33">
        <f t="shared" ref="B69:M69" si="266">SUM(B70:B71)</f>
        <v>14106.8125</v>
      </c>
      <c r="C69" s="33">
        <f t="shared" si="266"/>
        <v>14666.75</v>
      </c>
      <c r="D69" s="33">
        <f t="shared" si="266"/>
        <v>15454.274999999998</v>
      </c>
      <c r="E69" s="33">
        <f t="shared" si="266"/>
        <v>15974.474999999999</v>
      </c>
      <c r="F69" s="33">
        <f t="shared" si="266"/>
        <v>16689.75</v>
      </c>
      <c r="G69" s="12">
        <f t="shared" si="266"/>
        <v>17141.3125</v>
      </c>
      <c r="H69" s="12">
        <f t="shared" si="266"/>
        <v>17571.199999999997</v>
      </c>
      <c r="I69" s="12">
        <f t="shared" si="266"/>
        <v>17979.412499999999</v>
      </c>
      <c r="J69" s="12">
        <f t="shared" si="266"/>
        <v>18365.949999999997</v>
      </c>
      <c r="K69" s="12">
        <f t="shared" si="266"/>
        <v>19171.537499999999</v>
      </c>
      <c r="L69" s="12">
        <f t="shared" si="266"/>
        <v>20591.25</v>
      </c>
      <c r="M69" s="83">
        <f t="shared" si="266"/>
        <v>23018.85</v>
      </c>
      <c r="N69" s="33">
        <f t="shared" ref="N69:Y69" si="267">SUM(N70:N71)</f>
        <v>15376.425625</v>
      </c>
      <c r="O69" s="33">
        <f t="shared" si="267"/>
        <v>15986.7575</v>
      </c>
      <c r="P69" s="33">
        <f t="shared" si="267"/>
        <v>16845.159749999999</v>
      </c>
      <c r="Q69" s="33">
        <f t="shared" si="267"/>
        <v>17412.177750000003</v>
      </c>
      <c r="R69" s="33">
        <f t="shared" si="267"/>
        <v>18191.827499999999</v>
      </c>
      <c r="S69" s="12">
        <f t="shared" si="267"/>
        <v>18684.030624999999</v>
      </c>
      <c r="T69" s="12">
        <f t="shared" si="267"/>
        <v>19152.608</v>
      </c>
      <c r="U69" s="12">
        <f t="shared" si="267"/>
        <v>19597.559625000002</v>
      </c>
      <c r="V69" s="12">
        <f t="shared" si="267"/>
        <v>20018.885499999997</v>
      </c>
      <c r="W69" s="12">
        <f t="shared" si="267"/>
        <v>20896.975875000004</v>
      </c>
      <c r="X69" s="12">
        <f t="shared" si="267"/>
        <v>22444.462500000001</v>
      </c>
      <c r="Y69" s="83">
        <f t="shared" si="267"/>
        <v>25090.5465</v>
      </c>
      <c r="Z69" s="33">
        <f t="shared" ref="Z69:AK69" si="268">SUM(Z70:Z71)</f>
        <v>16760.303931250004</v>
      </c>
      <c r="AA69" s="33">
        <f t="shared" si="268"/>
        <v>17425.565675000002</v>
      </c>
      <c r="AB69" s="33">
        <f t="shared" si="268"/>
        <v>18361.224127499998</v>
      </c>
      <c r="AC69" s="33">
        <f t="shared" si="268"/>
        <v>18979.273747500003</v>
      </c>
      <c r="AD69" s="33">
        <f t="shared" si="268"/>
        <v>19829.091975000003</v>
      </c>
      <c r="AE69" s="12">
        <f t="shared" si="268"/>
        <v>20365.593381250004</v>
      </c>
      <c r="AF69" s="12">
        <f t="shared" si="268"/>
        <v>20876.342720000001</v>
      </c>
      <c r="AG69" s="12">
        <f t="shared" si="268"/>
        <v>21361.339991250003</v>
      </c>
      <c r="AH69" s="12">
        <f t="shared" si="268"/>
        <v>21820.585195</v>
      </c>
      <c r="AI69" s="12">
        <f t="shared" si="268"/>
        <v>22777.703703750005</v>
      </c>
      <c r="AJ69" s="12">
        <f t="shared" si="268"/>
        <v>24464.464125000002</v>
      </c>
      <c r="AK69" s="83">
        <f t="shared" si="268"/>
        <v>27348.695685000002</v>
      </c>
    </row>
    <row r="70" spans="1:37" x14ac:dyDescent="0.25">
      <c r="A70" s="4" t="s">
        <v>137</v>
      </c>
      <c r="B70" s="34">
        <v>8464.0874999999996</v>
      </c>
      <c r="C70" s="34">
        <v>8800.0499999999993</v>
      </c>
      <c r="D70" s="34">
        <v>9272.5649999999987</v>
      </c>
      <c r="E70" s="34">
        <v>9584.6849999999995</v>
      </c>
      <c r="F70" s="34">
        <v>10013.85</v>
      </c>
      <c r="G70" s="14">
        <v>10284.7875</v>
      </c>
      <c r="H70" s="14">
        <v>10542.72</v>
      </c>
      <c r="I70" s="14">
        <v>10787.647499999999</v>
      </c>
      <c r="J70" s="14">
        <v>11019.569999999998</v>
      </c>
      <c r="K70" s="14">
        <v>11502.922500000001</v>
      </c>
      <c r="L70" s="14">
        <v>12354.75</v>
      </c>
      <c r="M70" s="81">
        <v>13811.31</v>
      </c>
      <c r="N70" s="34">
        <f>B70*$N$27</f>
        <v>9225.855375000001</v>
      </c>
      <c r="O70" s="34">
        <f t="shared" ref="O70:Y71" si="269">C70*$N$27</f>
        <v>9592.0545000000002</v>
      </c>
      <c r="P70" s="34">
        <f t="shared" si="269"/>
        <v>10107.09585</v>
      </c>
      <c r="Q70" s="34">
        <f t="shared" si="269"/>
        <v>10447.30665</v>
      </c>
      <c r="R70" s="34">
        <f t="shared" si="269"/>
        <v>10915.096500000001</v>
      </c>
      <c r="S70" s="14">
        <f t="shared" si="269"/>
        <v>11210.418375000001</v>
      </c>
      <c r="T70" s="14">
        <f t="shared" si="269"/>
        <v>11491.5648</v>
      </c>
      <c r="U70" s="14">
        <f t="shared" si="269"/>
        <v>11758.535775</v>
      </c>
      <c r="V70" s="14">
        <f t="shared" si="269"/>
        <v>12011.331299999998</v>
      </c>
      <c r="W70" s="14">
        <f t="shared" si="269"/>
        <v>12538.185525000001</v>
      </c>
      <c r="X70" s="14">
        <f t="shared" si="269"/>
        <v>13466.677500000002</v>
      </c>
      <c r="Y70" s="81">
        <f t="shared" si="269"/>
        <v>15054.3279</v>
      </c>
      <c r="Z70" s="34">
        <f>N70*$N$27</f>
        <v>10056.182358750002</v>
      </c>
      <c r="AA70" s="34">
        <f t="shared" ref="AA70:AA71" si="270">O70*$N$27</f>
        <v>10455.339405000001</v>
      </c>
      <c r="AB70" s="34">
        <f t="shared" ref="AB70:AB71" si="271">P70*$N$27</f>
        <v>11016.7344765</v>
      </c>
      <c r="AC70" s="34">
        <f t="shared" ref="AC70:AC71" si="272">Q70*$N$27</f>
        <v>11387.564248500001</v>
      </c>
      <c r="AD70" s="34">
        <f t="shared" ref="AD70:AD71" si="273">R70*$N$27</f>
        <v>11897.455185000003</v>
      </c>
      <c r="AE70" s="14">
        <f t="shared" ref="AE70:AE71" si="274">S70*$N$27</f>
        <v>12219.356028750002</v>
      </c>
      <c r="AF70" s="14">
        <f t="shared" ref="AF70:AF71" si="275">T70*$N$27</f>
        <v>12525.805632000001</v>
      </c>
      <c r="AG70" s="14">
        <f t="shared" ref="AG70:AG71" si="276">U70*$N$27</f>
        <v>12816.803994750002</v>
      </c>
      <c r="AH70" s="14">
        <f t="shared" ref="AH70:AH71" si="277">V70*$N$27</f>
        <v>13092.351116999998</v>
      </c>
      <c r="AI70" s="14">
        <f t="shared" ref="AI70:AI71" si="278">W70*$N$27</f>
        <v>13666.622222250002</v>
      </c>
      <c r="AJ70" s="14">
        <f t="shared" ref="AJ70:AJ71" si="279">X70*$N$27</f>
        <v>14678.678475000002</v>
      </c>
      <c r="AK70" s="81">
        <f t="shared" ref="AK70:AK71" si="280">Y70*$N$27</f>
        <v>16409.217411000001</v>
      </c>
    </row>
    <row r="71" spans="1:37" x14ac:dyDescent="0.25">
      <c r="A71" s="4" t="s">
        <v>138</v>
      </c>
      <c r="B71" s="34">
        <v>5642.7249999999995</v>
      </c>
      <c r="C71" s="34">
        <v>5866.7</v>
      </c>
      <c r="D71" s="34">
        <v>6181.7099999999991</v>
      </c>
      <c r="E71" s="34">
        <v>6389.79</v>
      </c>
      <c r="F71" s="34">
        <v>6675.9</v>
      </c>
      <c r="G71" s="14">
        <v>6856.5249999999996</v>
      </c>
      <c r="H71" s="14">
        <v>7028.48</v>
      </c>
      <c r="I71" s="14">
        <v>7191.7649999999994</v>
      </c>
      <c r="J71" s="14">
        <v>7346.3799999999992</v>
      </c>
      <c r="K71" s="14">
        <v>7668.6149999999998</v>
      </c>
      <c r="L71" s="14">
        <v>8236.5</v>
      </c>
      <c r="M71" s="81">
        <v>9207.5399999999991</v>
      </c>
      <c r="N71" s="34">
        <f>B71*$N$27</f>
        <v>6150.5702499999998</v>
      </c>
      <c r="O71" s="34">
        <f t="shared" si="269"/>
        <v>6394.7030000000004</v>
      </c>
      <c r="P71" s="34">
        <f t="shared" si="269"/>
        <v>6738.0638999999992</v>
      </c>
      <c r="Q71" s="34">
        <f t="shared" si="269"/>
        <v>6964.8711000000003</v>
      </c>
      <c r="R71" s="34">
        <f t="shared" si="269"/>
        <v>7276.7309999999998</v>
      </c>
      <c r="S71" s="14">
        <f t="shared" si="269"/>
        <v>7473.6122500000001</v>
      </c>
      <c r="T71" s="14">
        <f t="shared" si="269"/>
        <v>7661.0432000000001</v>
      </c>
      <c r="U71" s="14">
        <f t="shared" si="269"/>
        <v>7839.0238499999996</v>
      </c>
      <c r="V71" s="14">
        <f t="shared" si="269"/>
        <v>8007.5541999999996</v>
      </c>
      <c r="W71" s="14">
        <f t="shared" si="269"/>
        <v>8358.7903500000011</v>
      </c>
      <c r="X71" s="14">
        <f t="shared" si="269"/>
        <v>8977.7849999999999</v>
      </c>
      <c r="Y71" s="81">
        <f t="shared" si="269"/>
        <v>10036.2186</v>
      </c>
      <c r="Z71" s="34">
        <f>N71*$N$27</f>
        <v>6704.1215725000002</v>
      </c>
      <c r="AA71" s="34">
        <f t="shared" si="270"/>
        <v>6970.226270000001</v>
      </c>
      <c r="AB71" s="34">
        <f t="shared" si="271"/>
        <v>7344.4896509999999</v>
      </c>
      <c r="AC71" s="34">
        <f t="shared" si="272"/>
        <v>7591.7094990000005</v>
      </c>
      <c r="AD71" s="34">
        <f t="shared" si="273"/>
        <v>7931.6367900000005</v>
      </c>
      <c r="AE71" s="14">
        <f t="shared" si="274"/>
        <v>8146.2373525000012</v>
      </c>
      <c r="AF71" s="14">
        <f t="shared" si="275"/>
        <v>8350.5370880000009</v>
      </c>
      <c r="AG71" s="14">
        <f t="shared" si="276"/>
        <v>8544.5359965000007</v>
      </c>
      <c r="AH71" s="14">
        <f t="shared" si="277"/>
        <v>8728.2340779999995</v>
      </c>
      <c r="AI71" s="14">
        <f t="shared" si="278"/>
        <v>9111.0814815000012</v>
      </c>
      <c r="AJ71" s="14">
        <f t="shared" si="279"/>
        <v>9785.7856499999998</v>
      </c>
      <c r="AK71" s="81">
        <f t="shared" si="280"/>
        <v>10939.478274000001</v>
      </c>
    </row>
    <row r="72" spans="1:37" x14ac:dyDescent="0.25">
      <c r="A72" s="1" t="s">
        <v>132</v>
      </c>
      <c r="B72" s="33">
        <f t="shared" ref="B72:M72" si="281">SUM(B73:B74)</f>
        <v>14106.8125</v>
      </c>
      <c r="C72" s="33">
        <f t="shared" si="281"/>
        <v>14666.75</v>
      </c>
      <c r="D72" s="33">
        <f t="shared" si="281"/>
        <v>15454.274999999998</v>
      </c>
      <c r="E72" s="33">
        <f t="shared" si="281"/>
        <v>15974.474999999999</v>
      </c>
      <c r="F72" s="33">
        <f t="shared" si="281"/>
        <v>16689.75</v>
      </c>
      <c r="G72" s="12">
        <f t="shared" si="281"/>
        <v>17141.3125</v>
      </c>
      <c r="H72" s="12">
        <f t="shared" si="281"/>
        <v>17571.199999999997</v>
      </c>
      <c r="I72" s="12">
        <f t="shared" si="281"/>
        <v>17979.412499999999</v>
      </c>
      <c r="J72" s="12">
        <f t="shared" si="281"/>
        <v>18365.949999999997</v>
      </c>
      <c r="K72" s="12">
        <f t="shared" si="281"/>
        <v>19171.537499999999</v>
      </c>
      <c r="L72" s="12">
        <f t="shared" si="281"/>
        <v>20591.25</v>
      </c>
      <c r="M72" s="83">
        <f t="shared" si="281"/>
        <v>23018.85</v>
      </c>
      <c r="N72" s="33">
        <f t="shared" ref="N72:Y72" si="282">SUM(N73:N74)</f>
        <v>15376.425625</v>
      </c>
      <c r="O72" s="33">
        <f t="shared" si="282"/>
        <v>15986.7575</v>
      </c>
      <c r="P72" s="33">
        <f t="shared" si="282"/>
        <v>16845.159749999999</v>
      </c>
      <c r="Q72" s="33">
        <f t="shared" si="282"/>
        <v>17412.177750000003</v>
      </c>
      <c r="R72" s="33">
        <f t="shared" si="282"/>
        <v>18191.827499999999</v>
      </c>
      <c r="S72" s="12">
        <f t="shared" si="282"/>
        <v>18684.030624999999</v>
      </c>
      <c r="T72" s="12">
        <f t="shared" si="282"/>
        <v>19152.608</v>
      </c>
      <c r="U72" s="12">
        <f t="shared" si="282"/>
        <v>19597.559625000002</v>
      </c>
      <c r="V72" s="12">
        <f t="shared" si="282"/>
        <v>20018.885499999997</v>
      </c>
      <c r="W72" s="12">
        <f t="shared" si="282"/>
        <v>20896.975875000004</v>
      </c>
      <c r="X72" s="12">
        <f t="shared" si="282"/>
        <v>22444.462500000001</v>
      </c>
      <c r="Y72" s="83">
        <f t="shared" si="282"/>
        <v>25090.5465</v>
      </c>
      <c r="Z72" s="33">
        <f t="shared" ref="Z72:AK72" si="283">SUM(Z73:Z74)</f>
        <v>16760.303931250004</v>
      </c>
      <c r="AA72" s="33">
        <f t="shared" si="283"/>
        <v>17425.565675000002</v>
      </c>
      <c r="AB72" s="33">
        <f t="shared" si="283"/>
        <v>18361.224127499998</v>
      </c>
      <c r="AC72" s="33">
        <f t="shared" si="283"/>
        <v>18979.273747500003</v>
      </c>
      <c r="AD72" s="33">
        <f t="shared" si="283"/>
        <v>19829.091975000003</v>
      </c>
      <c r="AE72" s="12">
        <f t="shared" si="283"/>
        <v>20365.593381250004</v>
      </c>
      <c r="AF72" s="12">
        <f t="shared" si="283"/>
        <v>20876.342720000001</v>
      </c>
      <c r="AG72" s="12">
        <f t="shared" si="283"/>
        <v>21361.339991250003</v>
      </c>
      <c r="AH72" s="12">
        <f t="shared" si="283"/>
        <v>21820.585195</v>
      </c>
      <c r="AI72" s="12">
        <f t="shared" si="283"/>
        <v>22777.703703750005</v>
      </c>
      <c r="AJ72" s="12">
        <f t="shared" si="283"/>
        <v>24464.464125000002</v>
      </c>
      <c r="AK72" s="83">
        <f t="shared" si="283"/>
        <v>27348.695685000002</v>
      </c>
    </row>
    <row r="73" spans="1:37" x14ac:dyDescent="0.25">
      <c r="A73" s="4" t="s">
        <v>139</v>
      </c>
      <c r="B73" s="34">
        <v>8464.0874999999996</v>
      </c>
      <c r="C73" s="34">
        <v>8800.0499999999993</v>
      </c>
      <c r="D73" s="34">
        <v>9272.5649999999987</v>
      </c>
      <c r="E73" s="34">
        <v>9584.6849999999995</v>
      </c>
      <c r="F73" s="34">
        <v>10013.85</v>
      </c>
      <c r="G73" s="14">
        <v>10284.7875</v>
      </c>
      <c r="H73" s="14">
        <v>10542.72</v>
      </c>
      <c r="I73" s="14">
        <v>10787.647499999999</v>
      </c>
      <c r="J73" s="14">
        <v>11019.569999999998</v>
      </c>
      <c r="K73" s="14">
        <v>11502.922500000001</v>
      </c>
      <c r="L73" s="14">
        <v>12354.75</v>
      </c>
      <c r="M73" s="81">
        <v>13811.31</v>
      </c>
      <c r="N73" s="34">
        <f>B73*$N$27</f>
        <v>9225.855375000001</v>
      </c>
      <c r="O73" s="34">
        <f t="shared" ref="O73:Y74" si="284">C73*$N$27</f>
        <v>9592.0545000000002</v>
      </c>
      <c r="P73" s="34">
        <f t="shared" si="284"/>
        <v>10107.09585</v>
      </c>
      <c r="Q73" s="34">
        <f t="shared" si="284"/>
        <v>10447.30665</v>
      </c>
      <c r="R73" s="34">
        <f t="shared" si="284"/>
        <v>10915.096500000001</v>
      </c>
      <c r="S73" s="14">
        <f t="shared" si="284"/>
        <v>11210.418375000001</v>
      </c>
      <c r="T73" s="14">
        <f t="shared" si="284"/>
        <v>11491.5648</v>
      </c>
      <c r="U73" s="14">
        <f t="shared" si="284"/>
        <v>11758.535775</v>
      </c>
      <c r="V73" s="14">
        <f t="shared" si="284"/>
        <v>12011.331299999998</v>
      </c>
      <c r="W73" s="14">
        <f t="shared" si="284"/>
        <v>12538.185525000001</v>
      </c>
      <c r="X73" s="14">
        <f t="shared" si="284"/>
        <v>13466.677500000002</v>
      </c>
      <c r="Y73" s="81">
        <f t="shared" si="284"/>
        <v>15054.3279</v>
      </c>
      <c r="Z73" s="34">
        <f>N73*$N$27</f>
        <v>10056.182358750002</v>
      </c>
      <c r="AA73" s="34">
        <f t="shared" ref="AA73:AA74" si="285">O73*$N$27</f>
        <v>10455.339405000001</v>
      </c>
      <c r="AB73" s="34">
        <f t="shared" ref="AB73:AB74" si="286">P73*$N$27</f>
        <v>11016.7344765</v>
      </c>
      <c r="AC73" s="34">
        <f t="shared" ref="AC73:AC74" si="287">Q73*$N$27</f>
        <v>11387.564248500001</v>
      </c>
      <c r="AD73" s="34">
        <f t="shared" ref="AD73:AD74" si="288">R73*$N$27</f>
        <v>11897.455185000003</v>
      </c>
      <c r="AE73" s="14">
        <f t="shared" ref="AE73:AE74" si="289">S73*$N$27</f>
        <v>12219.356028750002</v>
      </c>
      <c r="AF73" s="14">
        <f t="shared" ref="AF73:AF74" si="290">T73*$N$27</f>
        <v>12525.805632000001</v>
      </c>
      <c r="AG73" s="14">
        <f t="shared" ref="AG73:AG74" si="291">U73*$N$27</f>
        <v>12816.803994750002</v>
      </c>
      <c r="AH73" s="14">
        <f t="shared" ref="AH73:AH74" si="292">V73*$N$27</f>
        <v>13092.351116999998</v>
      </c>
      <c r="AI73" s="14">
        <f t="shared" ref="AI73:AI74" si="293">W73*$N$27</f>
        <v>13666.622222250002</v>
      </c>
      <c r="AJ73" s="14">
        <f t="shared" ref="AJ73:AJ74" si="294">X73*$N$27</f>
        <v>14678.678475000002</v>
      </c>
      <c r="AK73" s="81">
        <f t="shared" ref="AK73:AK74" si="295">Y73*$N$27</f>
        <v>16409.217411000001</v>
      </c>
    </row>
    <row r="74" spans="1:37" x14ac:dyDescent="0.25">
      <c r="A74" s="4" t="s">
        <v>140</v>
      </c>
      <c r="B74" s="34">
        <v>5642.7249999999995</v>
      </c>
      <c r="C74" s="34">
        <v>5866.7</v>
      </c>
      <c r="D74" s="34">
        <v>6181.7099999999991</v>
      </c>
      <c r="E74" s="34">
        <v>6389.79</v>
      </c>
      <c r="F74" s="34">
        <v>6675.9</v>
      </c>
      <c r="G74" s="14">
        <v>6856.5249999999996</v>
      </c>
      <c r="H74" s="14">
        <v>7028.48</v>
      </c>
      <c r="I74" s="14">
        <v>7191.7649999999994</v>
      </c>
      <c r="J74" s="14">
        <v>7346.3799999999992</v>
      </c>
      <c r="K74" s="14">
        <v>7668.6149999999998</v>
      </c>
      <c r="L74" s="14">
        <v>8236.5</v>
      </c>
      <c r="M74" s="81">
        <v>9207.5399999999991</v>
      </c>
      <c r="N74" s="34">
        <f>B74*$N$27</f>
        <v>6150.5702499999998</v>
      </c>
      <c r="O74" s="34">
        <f t="shared" si="284"/>
        <v>6394.7030000000004</v>
      </c>
      <c r="P74" s="34">
        <f t="shared" si="284"/>
        <v>6738.0638999999992</v>
      </c>
      <c r="Q74" s="34">
        <f t="shared" si="284"/>
        <v>6964.8711000000003</v>
      </c>
      <c r="R74" s="34">
        <f t="shared" si="284"/>
        <v>7276.7309999999998</v>
      </c>
      <c r="S74" s="14">
        <f t="shared" si="284"/>
        <v>7473.6122500000001</v>
      </c>
      <c r="T74" s="14">
        <f t="shared" si="284"/>
        <v>7661.0432000000001</v>
      </c>
      <c r="U74" s="14">
        <f t="shared" si="284"/>
        <v>7839.0238499999996</v>
      </c>
      <c r="V74" s="14">
        <f t="shared" si="284"/>
        <v>8007.5541999999996</v>
      </c>
      <c r="W74" s="14">
        <f t="shared" si="284"/>
        <v>8358.7903500000011</v>
      </c>
      <c r="X74" s="14">
        <f t="shared" si="284"/>
        <v>8977.7849999999999</v>
      </c>
      <c r="Y74" s="81">
        <f t="shared" si="284"/>
        <v>10036.2186</v>
      </c>
      <c r="Z74" s="34">
        <f>N74*$N$27</f>
        <v>6704.1215725000002</v>
      </c>
      <c r="AA74" s="34">
        <f t="shared" si="285"/>
        <v>6970.226270000001</v>
      </c>
      <c r="AB74" s="34">
        <f t="shared" si="286"/>
        <v>7344.4896509999999</v>
      </c>
      <c r="AC74" s="34">
        <f t="shared" si="287"/>
        <v>7591.7094990000005</v>
      </c>
      <c r="AD74" s="34">
        <f t="shared" si="288"/>
        <v>7931.6367900000005</v>
      </c>
      <c r="AE74" s="14">
        <f t="shared" si="289"/>
        <v>8146.2373525000012</v>
      </c>
      <c r="AF74" s="14">
        <f t="shared" si="290"/>
        <v>8350.5370880000009</v>
      </c>
      <c r="AG74" s="14">
        <f t="shared" si="291"/>
        <v>8544.5359965000007</v>
      </c>
      <c r="AH74" s="14">
        <f t="shared" si="292"/>
        <v>8728.2340779999995</v>
      </c>
      <c r="AI74" s="14">
        <f t="shared" si="293"/>
        <v>9111.0814815000012</v>
      </c>
      <c r="AJ74" s="14">
        <f t="shared" si="294"/>
        <v>9785.7856499999998</v>
      </c>
      <c r="AK74" s="81">
        <f t="shared" si="295"/>
        <v>10939.478274000001</v>
      </c>
    </row>
    <row r="75" spans="1:37" x14ac:dyDescent="0.25">
      <c r="A75" s="1" t="s">
        <v>133</v>
      </c>
      <c r="B75" s="33">
        <f t="shared" ref="B75:M75" si="296">SUM(B76:B77)</f>
        <v>5642.7250000000004</v>
      </c>
      <c r="C75" s="33">
        <f t="shared" si="296"/>
        <v>5866.6999999999989</v>
      </c>
      <c r="D75" s="33">
        <f t="shared" si="296"/>
        <v>6181.71</v>
      </c>
      <c r="E75" s="33">
        <f t="shared" si="296"/>
        <v>6389.7899999999991</v>
      </c>
      <c r="F75" s="33">
        <f t="shared" si="296"/>
        <v>6675.9</v>
      </c>
      <c r="G75" s="12">
        <f t="shared" si="296"/>
        <v>6856.5249999999996</v>
      </c>
      <c r="H75" s="12">
        <f t="shared" si="296"/>
        <v>7028.48</v>
      </c>
      <c r="I75" s="12">
        <f t="shared" si="296"/>
        <v>7191.7649999999994</v>
      </c>
      <c r="J75" s="12">
        <f t="shared" si="296"/>
        <v>7346.38</v>
      </c>
      <c r="K75" s="12">
        <f t="shared" si="296"/>
        <v>7668.6149999999989</v>
      </c>
      <c r="L75" s="12">
        <f t="shared" si="296"/>
        <v>8236.5</v>
      </c>
      <c r="M75" s="83">
        <f t="shared" si="296"/>
        <v>9207.5399999999991</v>
      </c>
      <c r="N75" s="33">
        <f t="shared" ref="N75:Y75" si="297">SUM(N76:N77)</f>
        <v>6150.5702500000007</v>
      </c>
      <c r="O75" s="33">
        <f t="shared" si="297"/>
        <v>6394.7029999999995</v>
      </c>
      <c r="P75" s="33">
        <f t="shared" si="297"/>
        <v>6738.063900000001</v>
      </c>
      <c r="Q75" s="33">
        <f t="shared" si="297"/>
        <v>6964.8711000000003</v>
      </c>
      <c r="R75" s="33">
        <f t="shared" si="297"/>
        <v>7276.7309999999998</v>
      </c>
      <c r="S75" s="12">
        <f t="shared" si="297"/>
        <v>7473.6122500000001</v>
      </c>
      <c r="T75" s="12">
        <f t="shared" si="297"/>
        <v>7661.0432000000001</v>
      </c>
      <c r="U75" s="12">
        <f t="shared" si="297"/>
        <v>7839.0238499999996</v>
      </c>
      <c r="V75" s="12">
        <f t="shared" si="297"/>
        <v>8007.5542000000005</v>
      </c>
      <c r="W75" s="12">
        <f t="shared" si="297"/>
        <v>8358.7903499999993</v>
      </c>
      <c r="X75" s="12">
        <f t="shared" si="297"/>
        <v>8977.7849999999999</v>
      </c>
      <c r="Y75" s="83">
        <f t="shared" si="297"/>
        <v>10036.2186</v>
      </c>
      <c r="Z75" s="33">
        <f t="shared" ref="Z75:AK75" si="298">SUM(Z76:Z77)</f>
        <v>6704.1215725000011</v>
      </c>
      <c r="AA75" s="33">
        <f t="shared" si="298"/>
        <v>6970.2262699999992</v>
      </c>
      <c r="AB75" s="33">
        <f t="shared" si="298"/>
        <v>7344.4896510000017</v>
      </c>
      <c r="AC75" s="33">
        <f t="shared" si="298"/>
        <v>7591.7094990000005</v>
      </c>
      <c r="AD75" s="33">
        <f t="shared" si="298"/>
        <v>7931.6367900000005</v>
      </c>
      <c r="AE75" s="12">
        <f t="shared" si="298"/>
        <v>8146.2373525000021</v>
      </c>
      <c r="AF75" s="12">
        <f t="shared" si="298"/>
        <v>8350.5370880000009</v>
      </c>
      <c r="AG75" s="12">
        <f t="shared" si="298"/>
        <v>8544.5359965000007</v>
      </c>
      <c r="AH75" s="12">
        <f t="shared" si="298"/>
        <v>8728.2340780000013</v>
      </c>
      <c r="AI75" s="12">
        <f t="shared" si="298"/>
        <v>9111.0814815000012</v>
      </c>
      <c r="AJ75" s="12">
        <f t="shared" si="298"/>
        <v>9785.7856500000016</v>
      </c>
      <c r="AK75" s="83">
        <f t="shared" si="298"/>
        <v>10939.478274000001</v>
      </c>
    </row>
    <row r="76" spans="1:37" x14ac:dyDescent="0.25">
      <c r="A76" s="4" t="s">
        <v>141</v>
      </c>
      <c r="B76" s="34">
        <v>3385.6349999999998</v>
      </c>
      <c r="C76" s="34">
        <v>3520.0199999999995</v>
      </c>
      <c r="D76" s="34">
        <v>3709.0260000000003</v>
      </c>
      <c r="E76" s="34">
        <v>3833.8739999999993</v>
      </c>
      <c r="F76" s="34">
        <v>4005.5399999999995</v>
      </c>
      <c r="G76" s="14">
        <v>4113.915</v>
      </c>
      <c r="H76" s="14">
        <v>4217.0879999999997</v>
      </c>
      <c r="I76" s="14">
        <v>4315.0590000000002</v>
      </c>
      <c r="J76" s="14">
        <v>4407.8280000000004</v>
      </c>
      <c r="K76" s="14">
        <v>4601.168999999999</v>
      </c>
      <c r="L76" s="14">
        <v>4941.8999999999996</v>
      </c>
      <c r="M76" s="81">
        <v>5524.5239999999994</v>
      </c>
      <c r="N76" s="34">
        <f>B76*$N$27</f>
        <v>3690.3421499999999</v>
      </c>
      <c r="O76" s="34">
        <f t="shared" ref="O76:Y77" si="299">C76*$N$27</f>
        <v>3836.8217999999997</v>
      </c>
      <c r="P76" s="34">
        <f t="shared" si="299"/>
        <v>4042.8383400000007</v>
      </c>
      <c r="Q76" s="34">
        <f t="shared" si="299"/>
        <v>4178.9226599999993</v>
      </c>
      <c r="R76" s="34">
        <f t="shared" si="299"/>
        <v>4366.0385999999999</v>
      </c>
      <c r="S76" s="14">
        <f t="shared" si="299"/>
        <v>4484.1673500000006</v>
      </c>
      <c r="T76" s="14">
        <f t="shared" si="299"/>
        <v>4596.6259200000004</v>
      </c>
      <c r="U76" s="14">
        <f t="shared" si="299"/>
        <v>4703.4143100000001</v>
      </c>
      <c r="V76" s="14">
        <f t="shared" si="299"/>
        <v>4804.5325200000007</v>
      </c>
      <c r="W76" s="14">
        <f t="shared" si="299"/>
        <v>5015.2742099999996</v>
      </c>
      <c r="X76" s="14">
        <f t="shared" si="299"/>
        <v>5386.6710000000003</v>
      </c>
      <c r="Y76" s="81">
        <f t="shared" si="299"/>
        <v>6021.7311600000003</v>
      </c>
      <c r="Z76" s="34">
        <f>N76*$N$27</f>
        <v>4022.4729435000004</v>
      </c>
      <c r="AA76" s="34">
        <f t="shared" ref="AA76:AA77" si="300">O76*$N$27</f>
        <v>4182.1357619999999</v>
      </c>
      <c r="AB76" s="34">
        <f t="shared" ref="AB76:AB77" si="301">P76*$N$27</f>
        <v>4406.6937906000012</v>
      </c>
      <c r="AC76" s="34">
        <f t="shared" ref="AC76:AC77" si="302">Q76*$N$27</f>
        <v>4555.0256993999992</v>
      </c>
      <c r="AD76" s="34">
        <f t="shared" ref="AD76:AD77" si="303">R76*$N$27</f>
        <v>4758.9820740000005</v>
      </c>
      <c r="AE76" s="14">
        <f t="shared" ref="AE76:AE77" si="304">S76*$N$27</f>
        <v>4887.7424115000013</v>
      </c>
      <c r="AF76" s="14">
        <f t="shared" ref="AF76:AF77" si="305">T76*$N$27</f>
        <v>5010.3222528000006</v>
      </c>
      <c r="AG76" s="14">
        <f t="shared" ref="AG76:AG77" si="306">U76*$N$27</f>
        <v>5126.7215979000002</v>
      </c>
      <c r="AH76" s="14">
        <f t="shared" ref="AH76:AH77" si="307">V76*$N$27</f>
        <v>5236.9404468000012</v>
      </c>
      <c r="AI76" s="14">
        <f t="shared" ref="AI76:AI77" si="308">W76*$N$27</f>
        <v>5466.6488889000002</v>
      </c>
      <c r="AJ76" s="14">
        <f t="shared" ref="AJ76:AJ77" si="309">X76*$N$27</f>
        <v>5871.4713900000006</v>
      </c>
      <c r="AK76" s="81">
        <f t="shared" ref="AK76:AK77" si="310">Y76*$N$27</f>
        <v>6563.6869644000008</v>
      </c>
    </row>
    <row r="77" spans="1:37" x14ac:dyDescent="0.25">
      <c r="A77" s="4" t="s">
        <v>142</v>
      </c>
      <c r="B77" s="34">
        <v>2257.09</v>
      </c>
      <c r="C77" s="34">
        <v>2346.6799999999998</v>
      </c>
      <c r="D77" s="34">
        <v>2472.6839999999997</v>
      </c>
      <c r="E77" s="34">
        <v>2555.9160000000002</v>
      </c>
      <c r="F77" s="34">
        <v>2670.3599999999997</v>
      </c>
      <c r="G77" s="14">
        <v>2742.6099999999997</v>
      </c>
      <c r="H77" s="14">
        <v>2811.3919999999998</v>
      </c>
      <c r="I77" s="14">
        <v>2876.7059999999997</v>
      </c>
      <c r="J77" s="14">
        <v>2938.5519999999997</v>
      </c>
      <c r="K77" s="14">
        <v>3067.4459999999999</v>
      </c>
      <c r="L77" s="14">
        <v>3294.6</v>
      </c>
      <c r="M77" s="81">
        <v>3683.0160000000001</v>
      </c>
      <c r="N77" s="34">
        <f>B77*$N$27</f>
        <v>2460.2281000000003</v>
      </c>
      <c r="O77" s="34">
        <f t="shared" si="299"/>
        <v>2557.8811999999998</v>
      </c>
      <c r="P77" s="34">
        <f t="shared" si="299"/>
        <v>2695.2255599999999</v>
      </c>
      <c r="Q77" s="34">
        <f t="shared" si="299"/>
        <v>2785.9484400000006</v>
      </c>
      <c r="R77" s="34">
        <f t="shared" si="299"/>
        <v>2910.6923999999999</v>
      </c>
      <c r="S77" s="14">
        <f t="shared" si="299"/>
        <v>2989.4449</v>
      </c>
      <c r="T77" s="14">
        <f t="shared" si="299"/>
        <v>3064.4172800000001</v>
      </c>
      <c r="U77" s="14">
        <f t="shared" si="299"/>
        <v>3135.6095399999999</v>
      </c>
      <c r="V77" s="14">
        <f t="shared" si="299"/>
        <v>3203.0216799999998</v>
      </c>
      <c r="W77" s="14">
        <f t="shared" si="299"/>
        <v>3343.5161400000002</v>
      </c>
      <c r="X77" s="14">
        <f t="shared" si="299"/>
        <v>3591.114</v>
      </c>
      <c r="Y77" s="81">
        <f t="shared" si="299"/>
        <v>4014.4874400000003</v>
      </c>
      <c r="Z77" s="34">
        <f>N77*$N$27</f>
        <v>2681.6486290000007</v>
      </c>
      <c r="AA77" s="34">
        <f t="shared" si="300"/>
        <v>2788.0905079999998</v>
      </c>
      <c r="AB77" s="34">
        <f t="shared" si="301"/>
        <v>2937.7958604</v>
      </c>
      <c r="AC77" s="34">
        <f t="shared" si="302"/>
        <v>3036.6837996000008</v>
      </c>
      <c r="AD77" s="34">
        <f t="shared" si="303"/>
        <v>3172.654716</v>
      </c>
      <c r="AE77" s="14">
        <f t="shared" si="304"/>
        <v>3258.4949410000004</v>
      </c>
      <c r="AF77" s="14">
        <f t="shared" si="305"/>
        <v>3340.2148352000004</v>
      </c>
      <c r="AG77" s="14">
        <f t="shared" si="306"/>
        <v>3417.8143986</v>
      </c>
      <c r="AH77" s="14">
        <f t="shared" si="307"/>
        <v>3491.2936312000002</v>
      </c>
      <c r="AI77" s="14">
        <f t="shared" si="308"/>
        <v>3644.4325926000006</v>
      </c>
      <c r="AJ77" s="14">
        <f t="shared" si="309"/>
        <v>3914.3142600000001</v>
      </c>
      <c r="AK77" s="81">
        <f t="shared" si="310"/>
        <v>4375.7913096000011</v>
      </c>
    </row>
    <row r="78" spans="1:37" x14ac:dyDescent="0.25">
      <c r="A78" s="1" t="s">
        <v>134</v>
      </c>
      <c r="B78" s="33">
        <f t="shared" ref="B78:M78" si="311">SUM(B79:B80)</f>
        <v>5642.7250000000004</v>
      </c>
      <c r="C78" s="33">
        <f t="shared" si="311"/>
        <v>5866.6999999999989</v>
      </c>
      <c r="D78" s="33">
        <f t="shared" si="311"/>
        <v>6181.71</v>
      </c>
      <c r="E78" s="33">
        <f t="shared" si="311"/>
        <v>6389.7899999999991</v>
      </c>
      <c r="F78" s="33">
        <f t="shared" si="311"/>
        <v>6675.9</v>
      </c>
      <c r="G78" s="12">
        <f t="shared" si="311"/>
        <v>6856.5249999999996</v>
      </c>
      <c r="H78" s="12">
        <f t="shared" si="311"/>
        <v>7028.48</v>
      </c>
      <c r="I78" s="12">
        <f t="shared" si="311"/>
        <v>7191.7649999999994</v>
      </c>
      <c r="J78" s="12">
        <f t="shared" si="311"/>
        <v>7346.38</v>
      </c>
      <c r="K78" s="12">
        <f t="shared" si="311"/>
        <v>7668.6149999999989</v>
      </c>
      <c r="L78" s="12">
        <f t="shared" si="311"/>
        <v>8236.5</v>
      </c>
      <c r="M78" s="83">
        <f t="shared" si="311"/>
        <v>9207.5399999999991</v>
      </c>
      <c r="N78" s="33">
        <f t="shared" ref="N78:Y78" si="312">SUM(N79:N80)</f>
        <v>6150.5702500000007</v>
      </c>
      <c r="O78" s="33">
        <f t="shared" si="312"/>
        <v>6394.7029999999995</v>
      </c>
      <c r="P78" s="33">
        <f t="shared" si="312"/>
        <v>6738.063900000001</v>
      </c>
      <c r="Q78" s="33">
        <f t="shared" si="312"/>
        <v>6964.8711000000003</v>
      </c>
      <c r="R78" s="33">
        <f t="shared" si="312"/>
        <v>7276.7309999999998</v>
      </c>
      <c r="S78" s="12">
        <f t="shared" si="312"/>
        <v>7473.6122500000001</v>
      </c>
      <c r="T78" s="12">
        <f t="shared" si="312"/>
        <v>7661.0432000000001</v>
      </c>
      <c r="U78" s="12">
        <f t="shared" si="312"/>
        <v>7839.0238499999996</v>
      </c>
      <c r="V78" s="12">
        <f t="shared" si="312"/>
        <v>8007.5542000000005</v>
      </c>
      <c r="W78" s="12">
        <f t="shared" si="312"/>
        <v>8358.7903499999993</v>
      </c>
      <c r="X78" s="12">
        <f t="shared" si="312"/>
        <v>8977.7849999999999</v>
      </c>
      <c r="Y78" s="83">
        <f t="shared" si="312"/>
        <v>10036.2186</v>
      </c>
      <c r="Z78" s="33">
        <f t="shared" ref="Z78:AK78" si="313">SUM(Z79:Z80)</f>
        <v>6704.1215725000011</v>
      </c>
      <c r="AA78" s="33">
        <f t="shared" si="313"/>
        <v>6970.2262699999992</v>
      </c>
      <c r="AB78" s="33">
        <f t="shared" si="313"/>
        <v>7344.4896510000017</v>
      </c>
      <c r="AC78" s="33">
        <f t="shared" si="313"/>
        <v>7591.7094990000005</v>
      </c>
      <c r="AD78" s="33">
        <f t="shared" si="313"/>
        <v>7931.6367900000005</v>
      </c>
      <c r="AE78" s="12">
        <f t="shared" si="313"/>
        <v>8146.2373525000021</v>
      </c>
      <c r="AF78" s="12">
        <f t="shared" si="313"/>
        <v>8350.5370880000009</v>
      </c>
      <c r="AG78" s="12">
        <f t="shared" si="313"/>
        <v>8544.5359965000007</v>
      </c>
      <c r="AH78" s="12">
        <f t="shared" si="313"/>
        <v>8728.2340780000013</v>
      </c>
      <c r="AI78" s="12">
        <f t="shared" si="313"/>
        <v>9111.0814815000012</v>
      </c>
      <c r="AJ78" s="12">
        <f t="shared" si="313"/>
        <v>9785.7856500000016</v>
      </c>
      <c r="AK78" s="83">
        <f t="shared" si="313"/>
        <v>10939.478274000001</v>
      </c>
    </row>
    <row r="79" spans="1:37" x14ac:dyDescent="0.25">
      <c r="A79" s="4" t="s">
        <v>143</v>
      </c>
      <c r="B79" s="34">
        <v>3385.6349999999998</v>
      </c>
      <c r="C79" s="34">
        <v>3520.0199999999995</v>
      </c>
      <c r="D79" s="34">
        <v>3709.0260000000003</v>
      </c>
      <c r="E79" s="34">
        <v>3833.8739999999993</v>
      </c>
      <c r="F79" s="34">
        <v>4005.5399999999995</v>
      </c>
      <c r="G79" s="14">
        <v>4113.915</v>
      </c>
      <c r="H79" s="14">
        <v>4217.0879999999997</v>
      </c>
      <c r="I79" s="14">
        <v>4315.0590000000002</v>
      </c>
      <c r="J79" s="14">
        <v>4407.8280000000004</v>
      </c>
      <c r="K79" s="14">
        <v>4601.168999999999</v>
      </c>
      <c r="L79" s="14">
        <v>4941.8999999999996</v>
      </c>
      <c r="M79" s="81">
        <v>5524.5239999999994</v>
      </c>
      <c r="N79" s="34">
        <f>B79*$N$27</f>
        <v>3690.3421499999999</v>
      </c>
      <c r="O79" s="34">
        <f t="shared" ref="O79:Y80" si="314">C79*$N$27</f>
        <v>3836.8217999999997</v>
      </c>
      <c r="P79" s="34">
        <f t="shared" si="314"/>
        <v>4042.8383400000007</v>
      </c>
      <c r="Q79" s="34">
        <f t="shared" si="314"/>
        <v>4178.9226599999993</v>
      </c>
      <c r="R79" s="34">
        <f t="shared" si="314"/>
        <v>4366.0385999999999</v>
      </c>
      <c r="S79" s="14">
        <f t="shared" si="314"/>
        <v>4484.1673500000006</v>
      </c>
      <c r="T79" s="14">
        <f t="shared" si="314"/>
        <v>4596.6259200000004</v>
      </c>
      <c r="U79" s="14">
        <f t="shared" si="314"/>
        <v>4703.4143100000001</v>
      </c>
      <c r="V79" s="14">
        <f t="shared" si="314"/>
        <v>4804.5325200000007</v>
      </c>
      <c r="W79" s="14">
        <f t="shared" si="314"/>
        <v>5015.2742099999996</v>
      </c>
      <c r="X79" s="14">
        <f t="shared" si="314"/>
        <v>5386.6710000000003</v>
      </c>
      <c r="Y79" s="81">
        <f t="shared" si="314"/>
        <v>6021.7311600000003</v>
      </c>
      <c r="Z79" s="34">
        <f>N79*$N$27</f>
        <v>4022.4729435000004</v>
      </c>
      <c r="AA79" s="34">
        <f t="shared" ref="AA79:AA80" si="315">O79*$N$27</f>
        <v>4182.1357619999999</v>
      </c>
      <c r="AB79" s="34">
        <f t="shared" ref="AB79:AB80" si="316">P79*$N$27</f>
        <v>4406.6937906000012</v>
      </c>
      <c r="AC79" s="34">
        <f t="shared" ref="AC79:AC80" si="317">Q79*$N$27</f>
        <v>4555.0256993999992</v>
      </c>
      <c r="AD79" s="34">
        <f t="shared" ref="AD79:AD80" si="318">R79*$N$27</f>
        <v>4758.9820740000005</v>
      </c>
      <c r="AE79" s="14">
        <f t="shared" ref="AE79:AE80" si="319">S79*$N$27</f>
        <v>4887.7424115000013</v>
      </c>
      <c r="AF79" s="14">
        <f t="shared" ref="AF79:AF80" si="320">T79*$N$27</f>
        <v>5010.3222528000006</v>
      </c>
      <c r="AG79" s="14">
        <f t="shared" ref="AG79:AG80" si="321">U79*$N$27</f>
        <v>5126.7215979000002</v>
      </c>
      <c r="AH79" s="14">
        <f t="shared" ref="AH79:AH80" si="322">V79*$N$27</f>
        <v>5236.9404468000012</v>
      </c>
      <c r="AI79" s="14">
        <f t="shared" ref="AI79:AI80" si="323">W79*$N$27</f>
        <v>5466.6488889000002</v>
      </c>
      <c r="AJ79" s="14">
        <f t="shared" ref="AJ79:AJ80" si="324">X79*$N$27</f>
        <v>5871.4713900000006</v>
      </c>
      <c r="AK79" s="81">
        <f t="shared" ref="AK79:AK80" si="325">Y79*$N$27</f>
        <v>6563.6869644000008</v>
      </c>
    </row>
    <row r="80" spans="1:37" x14ac:dyDescent="0.25">
      <c r="A80" s="4" t="s">
        <v>144</v>
      </c>
      <c r="B80" s="34">
        <v>2257.09</v>
      </c>
      <c r="C80" s="34">
        <v>2346.6799999999998</v>
      </c>
      <c r="D80" s="34">
        <v>2472.6839999999997</v>
      </c>
      <c r="E80" s="34">
        <v>2555.9160000000002</v>
      </c>
      <c r="F80" s="34">
        <v>2670.3599999999997</v>
      </c>
      <c r="G80" s="14">
        <v>2742.6099999999997</v>
      </c>
      <c r="H80" s="34">
        <v>2811.3919999999998</v>
      </c>
      <c r="I80" s="14">
        <v>2876.7059999999997</v>
      </c>
      <c r="J80" s="14">
        <v>2938.5519999999997</v>
      </c>
      <c r="K80" s="14">
        <v>3067.4459999999999</v>
      </c>
      <c r="L80" s="14">
        <v>3294.6</v>
      </c>
      <c r="M80" s="81">
        <v>3683.0160000000001</v>
      </c>
      <c r="N80" s="34">
        <f>B80*$N$27</f>
        <v>2460.2281000000003</v>
      </c>
      <c r="O80" s="34">
        <f t="shared" si="314"/>
        <v>2557.8811999999998</v>
      </c>
      <c r="P80" s="34">
        <f t="shared" si="314"/>
        <v>2695.2255599999999</v>
      </c>
      <c r="Q80" s="34">
        <f t="shared" si="314"/>
        <v>2785.9484400000006</v>
      </c>
      <c r="R80" s="34">
        <f t="shared" si="314"/>
        <v>2910.6923999999999</v>
      </c>
      <c r="S80" s="14">
        <f t="shared" si="314"/>
        <v>2989.4449</v>
      </c>
      <c r="T80" s="34">
        <f t="shared" si="314"/>
        <v>3064.4172800000001</v>
      </c>
      <c r="U80" s="14">
        <f t="shared" si="314"/>
        <v>3135.6095399999999</v>
      </c>
      <c r="V80" s="14">
        <f t="shared" si="314"/>
        <v>3203.0216799999998</v>
      </c>
      <c r="W80" s="14">
        <f t="shared" si="314"/>
        <v>3343.5161400000002</v>
      </c>
      <c r="X80" s="14">
        <f t="shared" si="314"/>
        <v>3591.114</v>
      </c>
      <c r="Y80" s="81">
        <f t="shared" si="314"/>
        <v>4014.4874400000003</v>
      </c>
      <c r="Z80" s="34">
        <f>N80*$N$27</f>
        <v>2681.6486290000007</v>
      </c>
      <c r="AA80" s="34">
        <f t="shared" si="315"/>
        <v>2788.0905079999998</v>
      </c>
      <c r="AB80" s="34">
        <f t="shared" si="316"/>
        <v>2937.7958604</v>
      </c>
      <c r="AC80" s="34">
        <f t="shared" si="317"/>
        <v>3036.6837996000008</v>
      </c>
      <c r="AD80" s="34">
        <f t="shared" si="318"/>
        <v>3172.654716</v>
      </c>
      <c r="AE80" s="14">
        <f t="shared" si="319"/>
        <v>3258.4949410000004</v>
      </c>
      <c r="AF80" s="34">
        <f t="shared" si="320"/>
        <v>3340.2148352000004</v>
      </c>
      <c r="AG80" s="14">
        <f t="shared" si="321"/>
        <v>3417.8143986</v>
      </c>
      <c r="AH80" s="14">
        <f t="shared" si="322"/>
        <v>3491.2936312000002</v>
      </c>
      <c r="AI80" s="14">
        <f t="shared" si="323"/>
        <v>3644.4325926000006</v>
      </c>
      <c r="AJ80" s="14">
        <f t="shared" si="324"/>
        <v>3914.3142600000001</v>
      </c>
      <c r="AK80" s="81">
        <f t="shared" si="325"/>
        <v>4375.7913096000011</v>
      </c>
    </row>
    <row r="81" spans="1:37" x14ac:dyDescent="0.25">
      <c r="A81" s="5" t="s">
        <v>31</v>
      </c>
      <c r="B81" s="11">
        <f>B82+B85+B88+B91+B94</f>
        <v>50784.524999999994</v>
      </c>
      <c r="C81" s="11">
        <f t="shared" ref="C81:M81" si="326">C82+C85+C88+C91+C94</f>
        <v>52800.299999999996</v>
      </c>
      <c r="D81" s="11">
        <f t="shared" si="326"/>
        <v>55635.389999999985</v>
      </c>
      <c r="E81" s="11">
        <f t="shared" si="326"/>
        <v>57506.029200000004</v>
      </c>
      <c r="F81" s="11">
        <f t="shared" si="326"/>
        <v>60083.1</v>
      </c>
      <c r="G81" s="11">
        <f t="shared" si="326"/>
        <v>61708.724999999999</v>
      </c>
      <c r="H81" s="11">
        <f t="shared" si="326"/>
        <v>63256.319999999992</v>
      </c>
      <c r="I81" s="11">
        <f t="shared" si="326"/>
        <v>64726.116200000004</v>
      </c>
      <c r="J81" s="11">
        <f t="shared" si="326"/>
        <v>66117.42</v>
      </c>
      <c r="K81" s="11">
        <f t="shared" si="326"/>
        <v>69017.534999999989</v>
      </c>
      <c r="L81" s="11">
        <f t="shared" si="326"/>
        <v>74128.5</v>
      </c>
      <c r="M81" s="80">
        <f t="shared" si="326"/>
        <v>82869.247200000013</v>
      </c>
      <c r="N81" s="11">
        <f>N82+N85+N88+N91+N94</f>
        <v>55355.132250000002</v>
      </c>
      <c r="O81" s="11">
        <f t="shared" ref="O81:Y81" si="327">O82+O85+O88+O91+O94</f>
        <v>57552.326999999997</v>
      </c>
      <c r="P81" s="11">
        <f t="shared" si="327"/>
        <v>60642.575099999987</v>
      </c>
      <c r="Q81" s="11">
        <f t="shared" si="327"/>
        <v>62681.571828</v>
      </c>
      <c r="R81" s="11">
        <f t="shared" si="327"/>
        <v>65490.578999999998</v>
      </c>
      <c r="S81" s="11">
        <f t="shared" si="327"/>
        <v>67262.510249999992</v>
      </c>
      <c r="T81" s="11">
        <f t="shared" si="327"/>
        <v>68949.388799999986</v>
      </c>
      <c r="U81" s="11">
        <f t="shared" si="327"/>
        <v>70551.466658000005</v>
      </c>
      <c r="V81" s="11">
        <f t="shared" si="327"/>
        <v>72067.987800000003</v>
      </c>
      <c r="W81" s="11">
        <f t="shared" si="327"/>
        <v>75229.113150000005</v>
      </c>
      <c r="X81" s="11">
        <f t="shared" si="327"/>
        <v>80800.065000000002</v>
      </c>
      <c r="Y81" s="80">
        <f t="shared" si="327"/>
        <v>90327.479447999998</v>
      </c>
      <c r="Z81" s="11">
        <f>Z82+Z85+Z88+Z91+Z94</f>
        <v>60337.094152500002</v>
      </c>
      <c r="AA81" s="11">
        <f t="shared" ref="AA81:AK81" si="328">AA82+AA85+AA88+AA91+AA94</f>
        <v>62732.036430000007</v>
      </c>
      <c r="AB81" s="11">
        <f t="shared" si="328"/>
        <v>66100.406858999995</v>
      </c>
      <c r="AC81" s="11">
        <f t="shared" si="328"/>
        <v>68322.91329252001</v>
      </c>
      <c r="AD81" s="11">
        <f t="shared" si="328"/>
        <v>71384.731110000008</v>
      </c>
      <c r="AE81" s="11">
        <f t="shared" si="328"/>
        <v>73316.136172500002</v>
      </c>
      <c r="AF81" s="11">
        <f t="shared" si="328"/>
        <v>75154.833792000005</v>
      </c>
      <c r="AG81" s="11">
        <f t="shared" si="328"/>
        <v>76901.098657220005</v>
      </c>
      <c r="AH81" s="11">
        <f t="shared" si="328"/>
        <v>78554.106702000005</v>
      </c>
      <c r="AI81" s="11">
        <f t="shared" si="328"/>
        <v>81999.733333500015</v>
      </c>
      <c r="AJ81" s="11">
        <f t="shared" si="328"/>
        <v>88072.070850000018</v>
      </c>
      <c r="AK81" s="80">
        <f t="shared" si="328"/>
        <v>98456.952598320029</v>
      </c>
    </row>
    <row r="82" spans="1:37" x14ac:dyDescent="0.25">
      <c r="A82" s="1" t="s">
        <v>130</v>
      </c>
      <c r="B82" s="12">
        <f t="shared" ref="B82:M82" si="329">SUM(B83:B84)</f>
        <v>15235.357499999998</v>
      </c>
      <c r="C82" s="12">
        <f t="shared" si="329"/>
        <v>15840.09</v>
      </c>
      <c r="D82" s="12">
        <f t="shared" si="329"/>
        <v>16690.616999999998</v>
      </c>
      <c r="E82" s="12">
        <f t="shared" si="329"/>
        <v>17252.433000000001</v>
      </c>
      <c r="F82" s="12">
        <f t="shared" si="329"/>
        <v>18024.93</v>
      </c>
      <c r="G82" s="12">
        <f t="shared" si="329"/>
        <v>18512.6175</v>
      </c>
      <c r="H82" s="12">
        <f t="shared" si="329"/>
        <v>18976.896000000001</v>
      </c>
      <c r="I82" s="12">
        <f t="shared" si="329"/>
        <v>19417.418699999998</v>
      </c>
      <c r="J82" s="12">
        <f t="shared" si="329"/>
        <v>19835.225999999999</v>
      </c>
      <c r="K82" s="12">
        <f t="shared" si="329"/>
        <v>20705.260499999997</v>
      </c>
      <c r="L82" s="12">
        <f t="shared" si="329"/>
        <v>22238.549999999996</v>
      </c>
      <c r="M82" s="83">
        <f t="shared" si="329"/>
        <v>24860.358</v>
      </c>
      <c r="N82" s="12">
        <f t="shared" ref="N82:Y82" si="330">SUM(N83:N84)</f>
        <v>16606.539675</v>
      </c>
      <c r="O82" s="12">
        <f t="shared" si="330"/>
        <v>17265.698100000001</v>
      </c>
      <c r="P82" s="12">
        <f t="shared" si="330"/>
        <v>18192.772529999998</v>
      </c>
      <c r="Q82" s="12">
        <f t="shared" si="330"/>
        <v>18805.151970000003</v>
      </c>
      <c r="R82" s="12">
        <f t="shared" si="330"/>
        <v>19647.173699999999</v>
      </c>
      <c r="S82" s="12">
        <f t="shared" si="330"/>
        <v>20178.753075000001</v>
      </c>
      <c r="T82" s="12">
        <f t="shared" si="330"/>
        <v>20684.816640000001</v>
      </c>
      <c r="U82" s="12">
        <f t="shared" si="330"/>
        <v>21164.986382999999</v>
      </c>
      <c r="V82" s="12">
        <f t="shared" si="330"/>
        <v>21620.396339999999</v>
      </c>
      <c r="W82" s="12">
        <f t="shared" si="330"/>
        <v>22568.733945</v>
      </c>
      <c r="X82" s="12">
        <f t="shared" si="330"/>
        <v>24240.019500000002</v>
      </c>
      <c r="Y82" s="83">
        <f t="shared" si="330"/>
        <v>27097.790219999999</v>
      </c>
      <c r="Z82" s="12">
        <f t="shared" ref="Z82:AK82" si="331">SUM(Z83:Z84)</f>
        <v>18101.128245750002</v>
      </c>
      <c r="AA82" s="12">
        <f t="shared" si="331"/>
        <v>18819.610929000002</v>
      </c>
      <c r="AB82" s="12">
        <f t="shared" si="331"/>
        <v>19830.122057699999</v>
      </c>
      <c r="AC82" s="12">
        <f t="shared" si="331"/>
        <v>20497.615647300005</v>
      </c>
      <c r="AD82" s="12">
        <f t="shared" si="331"/>
        <v>21415.419333000005</v>
      </c>
      <c r="AE82" s="12">
        <f t="shared" si="331"/>
        <v>21994.840851749999</v>
      </c>
      <c r="AF82" s="12">
        <f t="shared" si="331"/>
        <v>22546.450137600004</v>
      </c>
      <c r="AG82" s="12">
        <f t="shared" si="331"/>
        <v>23069.835157469999</v>
      </c>
      <c r="AH82" s="12">
        <f t="shared" si="331"/>
        <v>23566.232010600004</v>
      </c>
      <c r="AI82" s="12">
        <f t="shared" si="331"/>
        <v>24599.920000050002</v>
      </c>
      <c r="AJ82" s="12">
        <f t="shared" si="331"/>
        <v>26421.621255000002</v>
      </c>
      <c r="AK82" s="83">
        <f t="shared" si="331"/>
        <v>29536.591339799998</v>
      </c>
    </row>
    <row r="83" spans="1:37" x14ac:dyDescent="0.25">
      <c r="A83" s="4" t="s">
        <v>136</v>
      </c>
      <c r="B83" s="13">
        <v>9141.2145</v>
      </c>
      <c r="C83" s="13">
        <v>9504.0540000000001</v>
      </c>
      <c r="D83" s="13">
        <v>10014.370199999999</v>
      </c>
      <c r="E83" s="13">
        <v>10351.459800000001</v>
      </c>
      <c r="F83" s="13">
        <v>10814.957999999999</v>
      </c>
      <c r="G83" s="13">
        <v>11107.5705</v>
      </c>
      <c r="H83" s="13">
        <v>11386.1376</v>
      </c>
      <c r="I83" s="13">
        <v>11650.659299999999</v>
      </c>
      <c r="J83" s="13">
        <v>11901.1356</v>
      </c>
      <c r="K83" s="13">
        <v>12423.156299999999</v>
      </c>
      <c r="L83" s="13">
        <v>13343.13</v>
      </c>
      <c r="M83" s="85">
        <v>14916.214799999998</v>
      </c>
      <c r="N83" s="13">
        <f>B83*$N$27</f>
        <v>9963.9238050000004</v>
      </c>
      <c r="O83" s="13">
        <f t="shared" ref="O83:Y84" si="332">C83*$N$27</f>
        <v>10359.418860000002</v>
      </c>
      <c r="P83" s="13">
        <f t="shared" si="332"/>
        <v>10915.663517999999</v>
      </c>
      <c r="Q83" s="13">
        <f t="shared" si="332"/>
        <v>11283.091182000002</v>
      </c>
      <c r="R83" s="13">
        <f t="shared" si="332"/>
        <v>11788.30422</v>
      </c>
      <c r="S83" s="13">
        <f t="shared" si="332"/>
        <v>12107.251845000001</v>
      </c>
      <c r="T83" s="13">
        <f t="shared" si="332"/>
        <v>12410.889984000001</v>
      </c>
      <c r="U83" s="13">
        <f t="shared" si="332"/>
        <v>12699.218637</v>
      </c>
      <c r="V83" s="13">
        <f t="shared" si="332"/>
        <v>12972.237804</v>
      </c>
      <c r="W83" s="13">
        <f t="shared" si="332"/>
        <v>13541.240367</v>
      </c>
      <c r="X83" s="13">
        <f t="shared" si="332"/>
        <v>14544.011700000001</v>
      </c>
      <c r="Y83" s="85">
        <f t="shared" si="332"/>
        <v>16258.674131999998</v>
      </c>
      <c r="Z83" s="13">
        <f>N83*$N$27</f>
        <v>10860.676947450002</v>
      </c>
      <c r="AA83" s="13">
        <f t="shared" ref="AA83:AA84" si="333">O83*$N$27</f>
        <v>11291.766557400002</v>
      </c>
      <c r="AB83" s="13">
        <f t="shared" ref="AB83:AB84" si="334">P83*$N$27</f>
        <v>11898.07323462</v>
      </c>
      <c r="AC83" s="13">
        <f t="shared" ref="AC83:AC84" si="335">Q83*$N$27</f>
        <v>12298.569388380003</v>
      </c>
      <c r="AD83" s="13">
        <f t="shared" ref="AD83:AD84" si="336">R83*$N$27</f>
        <v>12849.251599800002</v>
      </c>
      <c r="AE83" s="13">
        <f t="shared" ref="AE83:AE84" si="337">S83*$N$27</f>
        <v>13196.904511050001</v>
      </c>
      <c r="AF83" s="13">
        <f t="shared" ref="AF83:AF84" si="338">T83*$N$27</f>
        <v>13527.870082560003</v>
      </c>
      <c r="AG83" s="13">
        <f t="shared" ref="AG83:AG84" si="339">U83*$N$27</f>
        <v>13842.148314330001</v>
      </c>
      <c r="AH83" s="13">
        <f t="shared" ref="AH83:AH84" si="340">V83*$N$27</f>
        <v>14139.739206360002</v>
      </c>
      <c r="AI83" s="13">
        <f t="shared" ref="AI83:AI84" si="341">W83*$N$27</f>
        <v>14759.952000030002</v>
      </c>
      <c r="AJ83" s="13">
        <f t="shared" ref="AJ83:AJ84" si="342">X83*$N$27</f>
        <v>15852.972753000002</v>
      </c>
      <c r="AK83" s="85">
        <f t="shared" ref="AK83:AK84" si="343">Y83*$N$27</f>
        <v>17721.954803879999</v>
      </c>
    </row>
    <row r="84" spans="1:37" x14ac:dyDescent="0.25">
      <c r="A84" s="4" t="s">
        <v>135</v>
      </c>
      <c r="B84" s="13">
        <v>6094.1429999999991</v>
      </c>
      <c r="C84" s="13">
        <v>6336.0360000000001</v>
      </c>
      <c r="D84" s="13">
        <v>6676.246799999999</v>
      </c>
      <c r="E84" s="13">
        <v>6900.9732000000004</v>
      </c>
      <c r="F84" s="13">
        <v>7209.9719999999998</v>
      </c>
      <c r="G84" s="13">
        <v>7405.0469999999996</v>
      </c>
      <c r="H84" s="35">
        <v>7590.7583999999997</v>
      </c>
      <c r="I84" s="13">
        <v>7766.759399999999</v>
      </c>
      <c r="J84" s="13">
        <v>7934.0904</v>
      </c>
      <c r="K84" s="13">
        <v>8282.1041999999998</v>
      </c>
      <c r="L84" s="13">
        <v>8895.4199999999983</v>
      </c>
      <c r="M84" s="85">
        <v>9944.1432000000004</v>
      </c>
      <c r="N84" s="13">
        <f>B84*$N$27</f>
        <v>6642.6158699999996</v>
      </c>
      <c r="O84" s="13">
        <f t="shared" si="332"/>
        <v>6906.2792400000008</v>
      </c>
      <c r="P84" s="13">
        <f t="shared" si="332"/>
        <v>7277.109011999999</v>
      </c>
      <c r="Q84" s="13">
        <f t="shared" si="332"/>
        <v>7522.0607880000007</v>
      </c>
      <c r="R84" s="13">
        <f t="shared" si="332"/>
        <v>7858.8694800000003</v>
      </c>
      <c r="S84" s="13">
        <f t="shared" si="332"/>
        <v>8071.5012299999999</v>
      </c>
      <c r="T84" s="35">
        <f t="shared" si="332"/>
        <v>8273.9266559999996</v>
      </c>
      <c r="U84" s="13">
        <f t="shared" si="332"/>
        <v>8465.7677459999995</v>
      </c>
      <c r="V84" s="13">
        <f t="shared" si="332"/>
        <v>8648.1585360000008</v>
      </c>
      <c r="W84" s="13">
        <f t="shared" si="332"/>
        <v>9027.4935779999996</v>
      </c>
      <c r="X84" s="13">
        <f t="shared" si="332"/>
        <v>9696.0077999999994</v>
      </c>
      <c r="Y84" s="85">
        <f t="shared" si="332"/>
        <v>10839.116088000001</v>
      </c>
      <c r="Z84" s="13">
        <f>N84*$N$27</f>
        <v>7240.4512983000004</v>
      </c>
      <c r="AA84" s="13">
        <f t="shared" si="333"/>
        <v>7527.8443716000011</v>
      </c>
      <c r="AB84" s="13">
        <f t="shared" si="334"/>
        <v>7932.0488230799992</v>
      </c>
      <c r="AC84" s="13">
        <f t="shared" si="335"/>
        <v>8199.0462589200015</v>
      </c>
      <c r="AD84" s="13">
        <f t="shared" si="336"/>
        <v>8566.1677332000017</v>
      </c>
      <c r="AE84" s="13">
        <f t="shared" si="337"/>
        <v>8797.9363407000001</v>
      </c>
      <c r="AF84" s="35">
        <f t="shared" si="338"/>
        <v>9018.5800550399999</v>
      </c>
      <c r="AG84" s="13">
        <f t="shared" si="339"/>
        <v>9227.6868431399998</v>
      </c>
      <c r="AH84" s="13">
        <f t="shared" si="340"/>
        <v>9426.4928042400024</v>
      </c>
      <c r="AI84" s="13">
        <f t="shared" si="341"/>
        <v>9839.9680000200005</v>
      </c>
      <c r="AJ84" s="13">
        <f t="shared" si="342"/>
        <v>10568.648502</v>
      </c>
      <c r="AK84" s="85">
        <f t="shared" si="343"/>
        <v>11814.636535920001</v>
      </c>
    </row>
    <row r="85" spans="1:37" x14ac:dyDescent="0.25">
      <c r="A85" s="1" t="s">
        <v>131</v>
      </c>
      <c r="B85" s="12">
        <f t="shared" ref="B85:M85" si="344">SUM(B86:B87)</f>
        <v>12696.131249999999</v>
      </c>
      <c r="C85" s="12">
        <f t="shared" si="344"/>
        <v>13200.074999999999</v>
      </c>
      <c r="D85" s="12">
        <f t="shared" si="344"/>
        <v>13908.847499999998</v>
      </c>
      <c r="E85" s="12">
        <f t="shared" si="344"/>
        <v>14377.0275</v>
      </c>
      <c r="F85" s="12">
        <f t="shared" si="344"/>
        <v>15020.775</v>
      </c>
      <c r="G85" s="12">
        <f t="shared" si="344"/>
        <v>15427.18125</v>
      </c>
      <c r="H85" s="12">
        <f t="shared" si="344"/>
        <v>15814.079999999998</v>
      </c>
      <c r="I85" s="12">
        <f t="shared" si="344"/>
        <v>16181.90475</v>
      </c>
      <c r="J85" s="12">
        <f t="shared" si="344"/>
        <v>16529.355</v>
      </c>
      <c r="K85" s="12">
        <f t="shared" si="344"/>
        <v>17254.383749999997</v>
      </c>
      <c r="L85" s="12">
        <f t="shared" si="344"/>
        <v>18532.125</v>
      </c>
      <c r="M85" s="83">
        <f t="shared" si="344"/>
        <v>20716.965000000004</v>
      </c>
      <c r="N85" s="12">
        <f t="shared" ref="N85:Y85" si="345">SUM(N86:N87)</f>
        <v>13838.783062499999</v>
      </c>
      <c r="O85" s="12">
        <f t="shared" si="345"/>
        <v>14388.081749999999</v>
      </c>
      <c r="P85" s="12">
        <f t="shared" si="345"/>
        <v>15160.643774999999</v>
      </c>
      <c r="Q85" s="12">
        <f t="shared" si="345"/>
        <v>15670.959975000002</v>
      </c>
      <c r="R85" s="12">
        <f t="shared" si="345"/>
        <v>16372.644750000001</v>
      </c>
      <c r="S85" s="12">
        <f t="shared" si="345"/>
        <v>16815.627562499998</v>
      </c>
      <c r="T85" s="12">
        <f t="shared" si="345"/>
        <v>17237.347199999997</v>
      </c>
      <c r="U85" s="12">
        <f t="shared" si="345"/>
        <v>17638.2761775</v>
      </c>
      <c r="V85" s="12">
        <f t="shared" si="345"/>
        <v>18016.996950000001</v>
      </c>
      <c r="W85" s="12">
        <f t="shared" si="345"/>
        <v>18807.278287499998</v>
      </c>
      <c r="X85" s="12">
        <f t="shared" si="345"/>
        <v>20200.016250000001</v>
      </c>
      <c r="Y85" s="83">
        <f t="shared" si="345"/>
        <v>22581.491850000006</v>
      </c>
      <c r="Z85" s="12">
        <f t="shared" ref="Z85:AK85" si="346">SUM(Z86:Z87)</f>
        <v>15084.273538125002</v>
      </c>
      <c r="AA85" s="12">
        <f t="shared" si="346"/>
        <v>15683.0091075</v>
      </c>
      <c r="AB85" s="12">
        <f t="shared" si="346"/>
        <v>16525.101714749999</v>
      </c>
      <c r="AC85" s="12">
        <f t="shared" si="346"/>
        <v>17081.346372750002</v>
      </c>
      <c r="AD85" s="12">
        <f t="shared" si="346"/>
        <v>17846.182777500002</v>
      </c>
      <c r="AE85" s="12">
        <f t="shared" si="346"/>
        <v>18329.034043125001</v>
      </c>
      <c r="AF85" s="12">
        <f t="shared" si="346"/>
        <v>18788.708447999998</v>
      </c>
      <c r="AG85" s="12">
        <f t="shared" si="346"/>
        <v>19225.721033475002</v>
      </c>
      <c r="AH85" s="12">
        <f t="shared" si="346"/>
        <v>19638.526675500001</v>
      </c>
      <c r="AI85" s="12">
        <f t="shared" si="346"/>
        <v>20499.933333375</v>
      </c>
      <c r="AJ85" s="12">
        <f t="shared" si="346"/>
        <v>22018.017712500005</v>
      </c>
      <c r="AK85" s="83">
        <f t="shared" si="346"/>
        <v>24613.826116500008</v>
      </c>
    </row>
    <row r="86" spans="1:37" x14ac:dyDescent="0.25">
      <c r="A86" s="4" t="s">
        <v>137</v>
      </c>
      <c r="B86" s="13">
        <v>7617.67875</v>
      </c>
      <c r="C86" s="13">
        <v>7920.0449999999992</v>
      </c>
      <c r="D86" s="13">
        <v>8345.3084999999992</v>
      </c>
      <c r="E86" s="13">
        <v>8626.2165000000005</v>
      </c>
      <c r="F86" s="13">
        <v>9012.4650000000001</v>
      </c>
      <c r="G86" s="13">
        <v>9256.3087500000001</v>
      </c>
      <c r="H86" s="13">
        <v>9488.4479999999985</v>
      </c>
      <c r="I86" s="13">
        <v>9709.3162499999999</v>
      </c>
      <c r="J86" s="13">
        <v>9917.6129999999994</v>
      </c>
      <c r="K86" s="13">
        <v>10352.630249999998</v>
      </c>
      <c r="L86" s="13">
        <v>11119.275</v>
      </c>
      <c r="M86" s="85">
        <v>12430.179000000002</v>
      </c>
      <c r="N86" s="13">
        <f>B86*$N$27</f>
        <v>8303.2698375</v>
      </c>
      <c r="O86" s="13">
        <f t="shared" ref="O86:Y87" si="347">C86*$N$27</f>
        <v>8632.8490499999989</v>
      </c>
      <c r="P86" s="13">
        <f t="shared" si="347"/>
        <v>9096.3862649999992</v>
      </c>
      <c r="Q86" s="13">
        <f t="shared" si="347"/>
        <v>9402.5759850000013</v>
      </c>
      <c r="R86" s="13">
        <f t="shared" si="347"/>
        <v>9823.5868500000015</v>
      </c>
      <c r="S86" s="13">
        <f t="shared" si="347"/>
        <v>10089.3765375</v>
      </c>
      <c r="T86" s="13">
        <f t="shared" si="347"/>
        <v>10342.408319999999</v>
      </c>
      <c r="U86" s="13">
        <f t="shared" si="347"/>
        <v>10583.1547125</v>
      </c>
      <c r="V86" s="13">
        <f t="shared" si="347"/>
        <v>10810.19817</v>
      </c>
      <c r="W86" s="13">
        <f t="shared" si="347"/>
        <v>11284.366972499998</v>
      </c>
      <c r="X86" s="13">
        <f t="shared" si="347"/>
        <v>12120.009750000001</v>
      </c>
      <c r="Y86" s="85">
        <f t="shared" si="347"/>
        <v>13548.895110000003</v>
      </c>
      <c r="Z86" s="13">
        <f>N86*$N$27</f>
        <v>9050.564122875001</v>
      </c>
      <c r="AA86" s="13">
        <f t="shared" ref="AA86:AA87" si="348">O86*$N$27</f>
        <v>9409.8054644999993</v>
      </c>
      <c r="AB86" s="13">
        <f t="shared" ref="AB86:AB87" si="349">P86*$N$27</f>
        <v>9915.0610288499993</v>
      </c>
      <c r="AC86" s="13">
        <f t="shared" ref="AC86:AC87" si="350">Q86*$N$27</f>
        <v>10248.807823650002</v>
      </c>
      <c r="AD86" s="13">
        <f t="shared" ref="AD86:AD87" si="351">R86*$N$27</f>
        <v>10707.709666500003</v>
      </c>
      <c r="AE86" s="13">
        <f t="shared" ref="AE86:AE87" si="352">S86*$N$27</f>
        <v>10997.420425875001</v>
      </c>
      <c r="AF86" s="13">
        <f t="shared" ref="AF86:AF87" si="353">T86*$N$27</f>
        <v>11273.225068799999</v>
      </c>
      <c r="AG86" s="13">
        <f t="shared" ref="AG86:AG87" si="354">U86*$N$27</f>
        <v>11535.638636625001</v>
      </c>
      <c r="AH86" s="13">
        <f t="shared" ref="AH86:AH87" si="355">V86*$N$27</f>
        <v>11783.1160053</v>
      </c>
      <c r="AI86" s="13">
        <f t="shared" ref="AI86:AI87" si="356">W86*$N$27</f>
        <v>12299.960000024999</v>
      </c>
      <c r="AJ86" s="13">
        <f t="shared" ref="AJ86:AJ87" si="357">X86*$N$27</f>
        <v>13210.810627500003</v>
      </c>
      <c r="AK86" s="85">
        <f t="shared" ref="AK86:AK87" si="358">Y86*$N$27</f>
        <v>14768.295669900004</v>
      </c>
    </row>
    <row r="87" spans="1:37" x14ac:dyDescent="0.25">
      <c r="A87" s="4" t="s">
        <v>138</v>
      </c>
      <c r="B87" s="13">
        <v>5078.4524999999994</v>
      </c>
      <c r="C87" s="13">
        <v>5280.03</v>
      </c>
      <c r="D87" s="13">
        <v>5563.5389999999989</v>
      </c>
      <c r="E87" s="13">
        <v>5750.8109999999997</v>
      </c>
      <c r="F87" s="13">
        <v>6008.3099999999995</v>
      </c>
      <c r="G87" s="13">
        <v>6170.8724999999995</v>
      </c>
      <c r="H87" s="13">
        <v>6325.6319999999996</v>
      </c>
      <c r="I87" s="13">
        <v>6472.5884999999998</v>
      </c>
      <c r="J87" s="13">
        <v>6611.7420000000002</v>
      </c>
      <c r="K87" s="13">
        <v>6901.7534999999998</v>
      </c>
      <c r="L87" s="13">
        <v>7412.8499999999995</v>
      </c>
      <c r="M87" s="85">
        <v>8286.7860000000001</v>
      </c>
      <c r="N87" s="13">
        <f>B87*$N$27</f>
        <v>5535.5132249999997</v>
      </c>
      <c r="O87" s="13">
        <f t="shared" si="347"/>
        <v>5755.2327000000005</v>
      </c>
      <c r="P87" s="13">
        <f t="shared" si="347"/>
        <v>6064.2575099999995</v>
      </c>
      <c r="Q87" s="13">
        <f t="shared" si="347"/>
        <v>6268.3839900000003</v>
      </c>
      <c r="R87" s="13">
        <f t="shared" si="347"/>
        <v>6549.0578999999998</v>
      </c>
      <c r="S87" s="13">
        <f t="shared" si="347"/>
        <v>6726.2510249999996</v>
      </c>
      <c r="T87" s="13">
        <f t="shared" si="347"/>
        <v>6894.9388799999997</v>
      </c>
      <c r="U87" s="13">
        <f t="shared" si="347"/>
        <v>7055.1214650000002</v>
      </c>
      <c r="V87" s="13">
        <f t="shared" si="347"/>
        <v>7206.798780000001</v>
      </c>
      <c r="W87" s="13">
        <f t="shared" si="347"/>
        <v>7522.9113150000003</v>
      </c>
      <c r="X87" s="13">
        <f t="shared" si="347"/>
        <v>8080.0065000000004</v>
      </c>
      <c r="Y87" s="85">
        <f t="shared" si="347"/>
        <v>9032.5967400000009</v>
      </c>
      <c r="Z87" s="13">
        <f>N87*$N$27</f>
        <v>6033.7094152500003</v>
      </c>
      <c r="AA87" s="13">
        <f t="shared" si="348"/>
        <v>6273.2036430000007</v>
      </c>
      <c r="AB87" s="13">
        <f t="shared" si="349"/>
        <v>6610.0406858999995</v>
      </c>
      <c r="AC87" s="13">
        <f t="shared" si="350"/>
        <v>6832.5385491000006</v>
      </c>
      <c r="AD87" s="13">
        <f t="shared" si="351"/>
        <v>7138.4731110000002</v>
      </c>
      <c r="AE87" s="13">
        <f t="shared" si="352"/>
        <v>7331.6136172500001</v>
      </c>
      <c r="AF87" s="13">
        <f t="shared" si="353"/>
        <v>7515.4833791999999</v>
      </c>
      <c r="AG87" s="13">
        <f t="shared" si="354"/>
        <v>7690.0823968500008</v>
      </c>
      <c r="AH87" s="13">
        <f t="shared" si="355"/>
        <v>7855.4106702000017</v>
      </c>
      <c r="AI87" s="13">
        <f t="shared" si="356"/>
        <v>8199.9733333500008</v>
      </c>
      <c r="AJ87" s="13">
        <f t="shared" si="357"/>
        <v>8807.2070850000018</v>
      </c>
      <c r="AK87" s="85">
        <f t="shared" si="358"/>
        <v>9845.5304466000016</v>
      </c>
    </row>
    <row r="88" spans="1:37" x14ac:dyDescent="0.25">
      <c r="A88" s="1" t="s">
        <v>132</v>
      </c>
      <c r="B88" s="12">
        <f t="shared" ref="B88:M88" si="359">SUM(B89:B90)</f>
        <v>12696.131249999999</v>
      </c>
      <c r="C88" s="12">
        <f t="shared" si="359"/>
        <v>13200.074999999999</v>
      </c>
      <c r="D88" s="12">
        <f t="shared" si="359"/>
        <v>13908.847499999998</v>
      </c>
      <c r="E88" s="12">
        <f t="shared" si="359"/>
        <v>14377.0275</v>
      </c>
      <c r="F88" s="12">
        <f t="shared" si="359"/>
        <v>15020.775</v>
      </c>
      <c r="G88" s="12">
        <f t="shared" si="359"/>
        <v>15427.18125</v>
      </c>
      <c r="H88" s="12">
        <f t="shared" si="359"/>
        <v>15814.079999999998</v>
      </c>
      <c r="I88" s="12">
        <f t="shared" si="359"/>
        <v>16181.90475</v>
      </c>
      <c r="J88" s="12">
        <f t="shared" si="359"/>
        <v>16529.355</v>
      </c>
      <c r="K88" s="12">
        <f t="shared" si="359"/>
        <v>17254.383749999997</v>
      </c>
      <c r="L88" s="12">
        <f t="shared" si="359"/>
        <v>18532.125</v>
      </c>
      <c r="M88" s="83">
        <f t="shared" si="359"/>
        <v>20716.965000000004</v>
      </c>
      <c r="N88" s="12">
        <f t="shared" ref="N88:Y88" si="360">SUM(N89:N90)</f>
        <v>13838.783062499999</v>
      </c>
      <c r="O88" s="12">
        <f t="shared" si="360"/>
        <v>14388.081749999999</v>
      </c>
      <c r="P88" s="12">
        <f t="shared" si="360"/>
        <v>15160.643774999999</v>
      </c>
      <c r="Q88" s="12">
        <f t="shared" si="360"/>
        <v>15670.959975000002</v>
      </c>
      <c r="R88" s="12">
        <f t="shared" si="360"/>
        <v>16372.644750000001</v>
      </c>
      <c r="S88" s="12">
        <f t="shared" si="360"/>
        <v>16815.627562499998</v>
      </c>
      <c r="T88" s="12">
        <f t="shared" si="360"/>
        <v>17237.347199999997</v>
      </c>
      <c r="U88" s="12">
        <f t="shared" si="360"/>
        <v>17638.2761775</v>
      </c>
      <c r="V88" s="12">
        <f t="shared" si="360"/>
        <v>18016.996950000001</v>
      </c>
      <c r="W88" s="12">
        <f t="shared" si="360"/>
        <v>18807.278287499998</v>
      </c>
      <c r="X88" s="12">
        <f t="shared" si="360"/>
        <v>20200.016250000001</v>
      </c>
      <c r="Y88" s="83">
        <f t="shared" si="360"/>
        <v>22581.491850000006</v>
      </c>
      <c r="Z88" s="12">
        <f t="shared" ref="Z88:AK88" si="361">SUM(Z89:Z90)</f>
        <v>15084.273538125002</v>
      </c>
      <c r="AA88" s="12">
        <f t="shared" si="361"/>
        <v>15683.0091075</v>
      </c>
      <c r="AB88" s="12">
        <f t="shared" si="361"/>
        <v>16525.101714749999</v>
      </c>
      <c r="AC88" s="12">
        <f t="shared" si="361"/>
        <v>17081.346372750002</v>
      </c>
      <c r="AD88" s="12">
        <f t="shared" si="361"/>
        <v>17846.182777500002</v>
      </c>
      <c r="AE88" s="12">
        <f t="shared" si="361"/>
        <v>18329.034043125001</v>
      </c>
      <c r="AF88" s="12">
        <f t="shared" si="361"/>
        <v>18788.708447999998</v>
      </c>
      <c r="AG88" s="12">
        <f t="shared" si="361"/>
        <v>19225.721033475002</v>
      </c>
      <c r="AH88" s="12">
        <f t="shared" si="361"/>
        <v>19638.526675500001</v>
      </c>
      <c r="AI88" s="12">
        <f t="shared" si="361"/>
        <v>20499.933333375</v>
      </c>
      <c r="AJ88" s="12">
        <f t="shared" si="361"/>
        <v>22018.017712500005</v>
      </c>
      <c r="AK88" s="83">
        <f t="shared" si="361"/>
        <v>24613.826116500008</v>
      </c>
    </row>
    <row r="89" spans="1:37" x14ac:dyDescent="0.25">
      <c r="A89" s="4" t="s">
        <v>139</v>
      </c>
      <c r="B89" s="13">
        <v>7617.67875</v>
      </c>
      <c r="C89" s="13">
        <v>7920.0449999999992</v>
      </c>
      <c r="D89" s="13">
        <v>8345.3084999999992</v>
      </c>
      <c r="E89" s="13">
        <v>8626.2165000000005</v>
      </c>
      <c r="F89" s="13">
        <v>9012.4650000000001</v>
      </c>
      <c r="G89" s="13">
        <v>9256.3087500000001</v>
      </c>
      <c r="H89" s="13">
        <v>9488.4479999999985</v>
      </c>
      <c r="I89" s="13">
        <v>9709.3162499999999</v>
      </c>
      <c r="J89" s="13">
        <v>9917.6129999999994</v>
      </c>
      <c r="K89" s="13">
        <v>10352.630249999998</v>
      </c>
      <c r="L89" s="13">
        <v>11119.275</v>
      </c>
      <c r="M89" s="85">
        <v>12430.179000000002</v>
      </c>
      <c r="N89" s="13">
        <f>B89*$N$27</f>
        <v>8303.2698375</v>
      </c>
      <c r="O89" s="13">
        <f t="shared" ref="O89:Y90" si="362">C89*$N$27</f>
        <v>8632.8490499999989</v>
      </c>
      <c r="P89" s="13">
        <f t="shared" si="362"/>
        <v>9096.3862649999992</v>
      </c>
      <c r="Q89" s="13">
        <f t="shared" si="362"/>
        <v>9402.5759850000013</v>
      </c>
      <c r="R89" s="13">
        <f t="shared" si="362"/>
        <v>9823.5868500000015</v>
      </c>
      <c r="S89" s="13">
        <f t="shared" si="362"/>
        <v>10089.3765375</v>
      </c>
      <c r="T89" s="13">
        <f t="shared" si="362"/>
        <v>10342.408319999999</v>
      </c>
      <c r="U89" s="13">
        <f t="shared" si="362"/>
        <v>10583.1547125</v>
      </c>
      <c r="V89" s="13">
        <f t="shared" si="362"/>
        <v>10810.19817</v>
      </c>
      <c r="W89" s="13">
        <f t="shared" si="362"/>
        <v>11284.366972499998</v>
      </c>
      <c r="X89" s="13">
        <f t="shared" si="362"/>
        <v>12120.009750000001</v>
      </c>
      <c r="Y89" s="85">
        <f t="shared" si="362"/>
        <v>13548.895110000003</v>
      </c>
      <c r="Z89" s="13">
        <f>N89*$N$27</f>
        <v>9050.564122875001</v>
      </c>
      <c r="AA89" s="13">
        <f t="shared" ref="AA89:AA90" si="363">O89*$N$27</f>
        <v>9409.8054644999993</v>
      </c>
      <c r="AB89" s="13">
        <f t="shared" ref="AB89:AB90" si="364">P89*$N$27</f>
        <v>9915.0610288499993</v>
      </c>
      <c r="AC89" s="13">
        <f t="shared" ref="AC89:AC90" si="365">Q89*$N$27</f>
        <v>10248.807823650002</v>
      </c>
      <c r="AD89" s="13">
        <f t="shared" ref="AD89:AD90" si="366">R89*$N$27</f>
        <v>10707.709666500003</v>
      </c>
      <c r="AE89" s="13">
        <f t="shared" ref="AE89:AE90" si="367">S89*$N$27</f>
        <v>10997.420425875001</v>
      </c>
      <c r="AF89" s="13">
        <f t="shared" ref="AF89:AF90" si="368">T89*$N$27</f>
        <v>11273.225068799999</v>
      </c>
      <c r="AG89" s="13">
        <f t="shared" ref="AG89:AG90" si="369">U89*$N$27</f>
        <v>11535.638636625001</v>
      </c>
      <c r="AH89" s="13">
        <f t="shared" ref="AH89:AH90" si="370">V89*$N$27</f>
        <v>11783.1160053</v>
      </c>
      <c r="AI89" s="13">
        <f t="shared" ref="AI89:AI90" si="371">W89*$N$27</f>
        <v>12299.960000024999</v>
      </c>
      <c r="AJ89" s="13">
        <f t="shared" ref="AJ89:AJ90" si="372">X89*$N$27</f>
        <v>13210.810627500003</v>
      </c>
      <c r="AK89" s="85">
        <f t="shared" ref="AK89:AK90" si="373">Y89*$N$27</f>
        <v>14768.295669900004</v>
      </c>
    </row>
    <row r="90" spans="1:37" x14ac:dyDescent="0.25">
      <c r="A90" s="4" t="s">
        <v>140</v>
      </c>
      <c r="B90" s="13">
        <v>5078.4524999999994</v>
      </c>
      <c r="C90" s="13">
        <v>5280.03</v>
      </c>
      <c r="D90" s="13">
        <v>5563.5389999999989</v>
      </c>
      <c r="E90" s="13">
        <v>5750.8109999999997</v>
      </c>
      <c r="F90" s="13">
        <v>6008.3099999999995</v>
      </c>
      <c r="G90" s="13">
        <v>6170.8724999999995</v>
      </c>
      <c r="H90" s="13">
        <v>6325.6319999999996</v>
      </c>
      <c r="I90" s="13">
        <v>6472.5884999999998</v>
      </c>
      <c r="J90" s="13">
        <v>6611.7420000000002</v>
      </c>
      <c r="K90" s="13">
        <v>6901.7534999999998</v>
      </c>
      <c r="L90" s="13">
        <v>7412.8499999999995</v>
      </c>
      <c r="M90" s="85">
        <v>8286.7860000000001</v>
      </c>
      <c r="N90" s="13">
        <f>B90*$N$27</f>
        <v>5535.5132249999997</v>
      </c>
      <c r="O90" s="13">
        <f t="shared" si="362"/>
        <v>5755.2327000000005</v>
      </c>
      <c r="P90" s="13">
        <f t="shared" si="362"/>
        <v>6064.2575099999995</v>
      </c>
      <c r="Q90" s="13">
        <f t="shared" si="362"/>
        <v>6268.3839900000003</v>
      </c>
      <c r="R90" s="13">
        <f t="shared" si="362"/>
        <v>6549.0578999999998</v>
      </c>
      <c r="S90" s="13">
        <f t="shared" si="362"/>
        <v>6726.2510249999996</v>
      </c>
      <c r="T90" s="13">
        <f t="shared" si="362"/>
        <v>6894.9388799999997</v>
      </c>
      <c r="U90" s="13">
        <f t="shared" si="362"/>
        <v>7055.1214650000002</v>
      </c>
      <c r="V90" s="13">
        <f t="shared" si="362"/>
        <v>7206.798780000001</v>
      </c>
      <c r="W90" s="13">
        <f t="shared" si="362"/>
        <v>7522.9113150000003</v>
      </c>
      <c r="X90" s="13">
        <f t="shared" si="362"/>
        <v>8080.0065000000004</v>
      </c>
      <c r="Y90" s="85">
        <f t="shared" si="362"/>
        <v>9032.5967400000009</v>
      </c>
      <c r="Z90" s="13">
        <f>N90*$N$27</f>
        <v>6033.7094152500003</v>
      </c>
      <c r="AA90" s="13">
        <f t="shared" si="363"/>
        <v>6273.2036430000007</v>
      </c>
      <c r="AB90" s="13">
        <f t="shared" si="364"/>
        <v>6610.0406858999995</v>
      </c>
      <c r="AC90" s="13">
        <f t="shared" si="365"/>
        <v>6832.5385491000006</v>
      </c>
      <c r="AD90" s="13">
        <f t="shared" si="366"/>
        <v>7138.4731110000002</v>
      </c>
      <c r="AE90" s="13">
        <f t="shared" si="367"/>
        <v>7331.6136172500001</v>
      </c>
      <c r="AF90" s="13">
        <f t="shared" si="368"/>
        <v>7515.4833791999999</v>
      </c>
      <c r="AG90" s="13">
        <f t="shared" si="369"/>
        <v>7690.0823968500008</v>
      </c>
      <c r="AH90" s="13">
        <f t="shared" si="370"/>
        <v>7855.4106702000017</v>
      </c>
      <c r="AI90" s="13">
        <f t="shared" si="371"/>
        <v>8199.9733333500008</v>
      </c>
      <c r="AJ90" s="13">
        <f t="shared" si="372"/>
        <v>8807.2070850000018</v>
      </c>
      <c r="AK90" s="85">
        <f t="shared" si="373"/>
        <v>9845.5304466000016</v>
      </c>
    </row>
    <row r="91" spans="1:37" x14ac:dyDescent="0.25">
      <c r="A91" s="1" t="s">
        <v>133</v>
      </c>
      <c r="B91" s="12">
        <f t="shared" ref="B91:M91" si="374">SUM(B92:B93)</f>
        <v>5078.4524999999994</v>
      </c>
      <c r="C91" s="12">
        <f t="shared" si="374"/>
        <v>5280.03</v>
      </c>
      <c r="D91" s="12">
        <f t="shared" si="374"/>
        <v>5563.5389999999989</v>
      </c>
      <c r="E91" s="12">
        <f t="shared" si="374"/>
        <v>5749.7705999999998</v>
      </c>
      <c r="F91" s="12">
        <f t="shared" si="374"/>
        <v>6008.3099999999995</v>
      </c>
      <c r="G91" s="12">
        <f t="shared" si="374"/>
        <v>6170.8724999999995</v>
      </c>
      <c r="H91" s="12">
        <f t="shared" si="374"/>
        <v>6325.6319999999996</v>
      </c>
      <c r="I91" s="12">
        <f t="shared" si="374"/>
        <v>6472.4439999999995</v>
      </c>
      <c r="J91" s="12">
        <f t="shared" si="374"/>
        <v>6611.7420000000002</v>
      </c>
      <c r="K91" s="12">
        <f t="shared" si="374"/>
        <v>6901.7534999999998</v>
      </c>
      <c r="L91" s="12">
        <f t="shared" si="374"/>
        <v>7412.8499999999985</v>
      </c>
      <c r="M91" s="83">
        <f t="shared" si="374"/>
        <v>8287.4796000000006</v>
      </c>
      <c r="N91" s="12">
        <f t="shared" ref="N91:Y91" si="375">SUM(N92:N93)</f>
        <v>5535.5132249999997</v>
      </c>
      <c r="O91" s="12">
        <f t="shared" si="375"/>
        <v>5755.2327000000005</v>
      </c>
      <c r="P91" s="12">
        <f t="shared" si="375"/>
        <v>6064.2575099999995</v>
      </c>
      <c r="Q91" s="12">
        <f t="shared" si="375"/>
        <v>6267.2499540000008</v>
      </c>
      <c r="R91" s="12">
        <f t="shared" si="375"/>
        <v>6549.0578999999998</v>
      </c>
      <c r="S91" s="12">
        <f t="shared" si="375"/>
        <v>6726.2510250000005</v>
      </c>
      <c r="T91" s="12">
        <f t="shared" si="375"/>
        <v>6894.9388799999997</v>
      </c>
      <c r="U91" s="12">
        <f t="shared" si="375"/>
        <v>7054.96396</v>
      </c>
      <c r="V91" s="12">
        <f t="shared" si="375"/>
        <v>7206.798780000001</v>
      </c>
      <c r="W91" s="12">
        <f t="shared" si="375"/>
        <v>7522.9113149999994</v>
      </c>
      <c r="X91" s="12">
        <f t="shared" si="375"/>
        <v>8080.0064999999995</v>
      </c>
      <c r="Y91" s="83">
        <f t="shared" si="375"/>
        <v>9033.3527640000011</v>
      </c>
      <c r="Z91" s="12">
        <f t="shared" ref="Z91:AK91" si="376">SUM(Z92:Z93)</f>
        <v>6033.7094152500003</v>
      </c>
      <c r="AA91" s="12">
        <f t="shared" si="376"/>
        <v>6273.2036430000007</v>
      </c>
      <c r="AB91" s="12">
        <f t="shared" si="376"/>
        <v>6610.0406858999995</v>
      </c>
      <c r="AC91" s="12">
        <f t="shared" si="376"/>
        <v>6831.3024498600016</v>
      </c>
      <c r="AD91" s="12">
        <f t="shared" si="376"/>
        <v>7138.4731110000012</v>
      </c>
      <c r="AE91" s="12">
        <f t="shared" si="376"/>
        <v>7331.613617250001</v>
      </c>
      <c r="AF91" s="12">
        <f t="shared" si="376"/>
        <v>7515.4833791999999</v>
      </c>
      <c r="AG91" s="12">
        <f t="shared" si="376"/>
        <v>7689.9107164000006</v>
      </c>
      <c r="AH91" s="12">
        <f t="shared" si="376"/>
        <v>7855.4106702000017</v>
      </c>
      <c r="AI91" s="12">
        <f t="shared" si="376"/>
        <v>8199.9733333500008</v>
      </c>
      <c r="AJ91" s="12">
        <f t="shared" si="376"/>
        <v>8807.207085</v>
      </c>
      <c r="AK91" s="83">
        <f t="shared" si="376"/>
        <v>9846.3545127600009</v>
      </c>
    </row>
    <row r="92" spans="1:37" x14ac:dyDescent="0.25">
      <c r="A92" s="4" t="s">
        <v>141</v>
      </c>
      <c r="B92" s="13">
        <v>3047.0714999999996</v>
      </c>
      <c r="C92" s="13">
        <v>3168.018</v>
      </c>
      <c r="D92" s="13">
        <v>3338.1233999999995</v>
      </c>
      <c r="E92" s="13">
        <v>3450.4866000000002</v>
      </c>
      <c r="F92" s="13">
        <v>3604.9859999999999</v>
      </c>
      <c r="G92" s="13">
        <v>3702.5234999999998</v>
      </c>
      <c r="H92" s="13">
        <v>3795.3791999999999</v>
      </c>
      <c r="I92" s="13">
        <v>3883.4086000000002</v>
      </c>
      <c r="J92" s="13">
        <v>3967.0452</v>
      </c>
      <c r="K92" s="13">
        <v>4141.0520999999999</v>
      </c>
      <c r="L92" s="13">
        <v>4447.7099999999991</v>
      </c>
      <c r="M92" s="85">
        <v>4972.7651999999998</v>
      </c>
      <c r="N92" s="13">
        <f>B92*$N$27</f>
        <v>3321.3079349999998</v>
      </c>
      <c r="O92" s="13">
        <f t="shared" ref="O92:Y93" si="377">C92*$N$27</f>
        <v>3453.1396200000004</v>
      </c>
      <c r="P92" s="13">
        <f t="shared" si="377"/>
        <v>3638.5545059999995</v>
      </c>
      <c r="Q92" s="13">
        <f t="shared" si="377"/>
        <v>3761.0303940000003</v>
      </c>
      <c r="R92" s="13">
        <f t="shared" si="377"/>
        <v>3929.4347400000001</v>
      </c>
      <c r="S92" s="13">
        <f t="shared" si="377"/>
        <v>4035.7506149999999</v>
      </c>
      <c r="T92" s="13">
        <f t="shared" si="377"/>
        <v>4136.9633279999998</v>
      </c>
      <c r="U92" s="13">
        <f t="shared" si="377"/>
        <v>4232.9153740000002</v>
      </c>
      <c r="V92" s="13">
        <f t="shared" si="377"/>
        <v>4324.0792680000004</v>
      </c>
      <c r="W92" s="13">
        <f t="shared" si="377"/>
        <v>4513.7467889999998</v>
      </c>
      <c r="X92" s="13">
        <f t="shared" si="377"/>
        <v>4848.0038999999997</v>
      </c>
      <c r="Y92" s="85">
        <f t="shared" si="377"/>
        <v>5420.3140680000006</v>
      </c>
      <c r="Z92" s="13">
        <f>N92*$N$27</f>
        <v>3620.2256491500002</v>
      </c>
      <c r="AA92" s="13">
        <f t="shared" ref="AA92:AA93" si="378">O92*$N$27</f>
        <v>3763.9221858000005</v>
      </c>
      <c r="AB92" s="13">
        <f t="shared" ref="AB92:AB93" si="379">P92*$N$27</f>
        <v>3966.0244115399996</v>
      </c>
      <c r="AC92" s="13">
        <f t="shared" ref="AC92:AC93" si="380">Q92*$N$27</f>
        <v>4099.5231294600007</v>
      </c>
      <c r="AD92" s="13">
        <f t="shared" ref="AD92:AD93" si="381">R92*$N$27</f>
        <v>4283.0838666000009</v>
      </c>
      <c r="AE92" s="13">
        <f t="shared" ref="AE92:AE93" si="382">S92*$N$27</f>
        <v>4398.96817035</v>
      </c>
      <c r="AF92" s="13">
        <f t="shared" ref="AF92:AF93" si="383">T92*$N$27</f>
        <v>4509.29002752</v>
      </c>
      <c r="AG92" s="13">
        <f t="shared" ref="AG92:AG93" si="384">U92*$N$27</f>
        <v>4613.8777576600005</v>
      </c>
      <c r="AH92" s="13">
        <f t="shared" ref="AH92:AH93" si="385">V92*$N$27</f>
        <v>4713.2464021200012</v>
      </c>
      <c r="AI92" s="13">
        <f t="shared" ref="AI92:AI93" si="386">W92*$N$27</f>
        <v>4919.9840000100003</v>
      </c>
      <c r="AJ92" s="13">
        <f t="shared" ref="AJ92:AJ93" si="387">X92*$N$27</f>
        <v>5284.324251</v>
      </c>
      <c r="AK92" s="85">
        <f t="shared" ref="AK92:AK93" si="388">Y92*$N$27</f>
        <v>5908.1423341200007</v>
      </c>
    </row>
    <row r="93" spans="1:37" x14ac:dyDescent="0.25">
      <c r="A93" s="4" t="s">
        <v>142</v>
      </c>
      <c r="B93" s="13">
        <v>2031.3809999999996</v>
      </c>
      <c r="C93" s="13">
        <v>2112.0119999999997</v>
      </c>
      <c r="D93" s="13">
        <v>2225.4155999999998</v>
      </c>
      <c r="E93" s="13">
        <v>2299.2840000000001</v>
      </c>
      <c r="F93" s="13">
        <v>2403.3240000000001</v>
      </c>
      <c r="G93" s="13">
        <v>2468.3490000000002</v>
      </c>
      <c r="H93" s="13">
        <v>2530.2527999999998</v>
      </c>
      <c r="I93" s="13">
        <v>2589.0353999999998</v>
      </c>
      <c r="J93" s="13">
        <v>2644.6967999999997</v>
      </c>
      <c r="K93" s="13">
        <v>2760.7013999999999</v>
      </c>
      <c r="L93" s="13">
        <v>2965.14</v>
      </c>
      <c r="M93" s="85">
        <v>3314.7144000000003</v>
      </c>
      <c r="N93" s="13">
        <f>B93*$N$27</f>
        <v>2214.2052899999999</v>
      </c>
      <c r="O93" s="13">
        <f t="shared" si="377"/>
        <v>2302.0930799999996</v>
      </c>
      <c r="P93" s="13">
        <f t="shared" si="377"/>
        <v>2425.703004</v>
      </c>
      <c r="Q93" s="13">
        <f t="shared" si="377"/>
        <v>2506.2195600000005</v>
      </c>
      <c r="R93" s="13">
        <f t="shared" si="377"/>
        <v>2619.6231600000001</v>
      </c>
      <c r="S93" s="13">
        <f t="shared" si="377"/>
        <v>2690.5004100000006</v>
      </c>
      <c r="T93" s="13">
        <f t="shared" si="377"/>
        <v>2757.9755519999999</v>
      </c>
      <c r="U93" s="13">
        <f t="shared" si="377"/>
        <v>2822.0485859999999</v>
      </c>
      <c r="V93" s="13">
        <f t="shared" si="377"/>
        <v>2882.7195120000001</v>
      </c>
      <c r="W93" s="13">
        <f t="shared" si="377"/>
        <v>3009.164526</v>
      </c>
      <c r="X93" s="13">
        <f t="shared" si="377"/>
        <v>3232.0026000000003</v>
      </c>
      <c r="Y93" s="85">
        <f t="shared" si="377"/>
        <v>3613.0386960000005</v>
      </c>
      <c r="Z93" s="13">
        <f>N93*$N$27</f>
        <v>2413.4837661000001</v>
      </c>
      <c r="AA93" s="13">
        <f t="shared" si="378"/>
        <v>2509.2814571999997</v>
      </c>
      <c r="AB93" s="13">
        <f t="shared" si="379"/>
        <v>2644.0162743600004</v>
      </c>
      <c r="AC93" s="13">
        <f t="shared" si="380"/>
        <v>2731.7793204000009</v>
      </c>
      <c r="AD93" s="13">
        <f t="shared" si="381"/>
        <v>2855.3892444000003</v>
      </c>
      <c r="AE93" s="13">
        <f t="shared" si="382"/>
        <v>2932.6454469000009</v>
      </c>
      <c r="AF93" s="13">
        <f t="shared" si="383"/>
        <v>3006.19335168</v>
      </c>
      <c r="AG93" s="13">
        <f t="shared" si="384"/>
        <v>3076.0329587400001</v>
      </c>
      <c r="AH93" s="13">
        <f t="shared" si="385"/>
        <v>3142.1642680800005</v>
      </c>
      <c r="AI93" s="13">
        <f t="shared" si="386"/>
        <v>3279.9893333400005</v>
      </c>
      <c r="AJ93" s="13">
        <f t="shared" si="387"/>
        <v>3522.8828340000005</v>
      </c>
      <c r="AK93" s="85">
        <f t="shared" si="388"/>
        <v>3938.2121786400007</v>
      </c>
    </row>
    <row r="94" spans="1:37" x14ac:dyDescent="0.25">
      <c r="A94" s="1" t="s">
        <v>134</v>
      </c>
      <c r="B94" s="12">
        <f t="shared" ref="B94:M94" si="389">SUM(B95:B96)</f>
        <v>5078.4524999999994</v>
      </c>
      <c r="C94" s="12">
        <f t="shared" si="389"/>
        <v>5280.03</v>
      </c>
      <c r="D94" s="12">
        <f t="shared" si="389"/>
        <v>5563.5389999999989</v>
      </c>
      <c r="E94" s="12">
        <f t="shared" si="389"/>
        <v>5749.7705999999998</v>
      </c>
      <c r="F94" s="12">
        <f t="shared" si="389"/>
        <v>6008.3099999999995</v>
      </c>
      <c r="G94" s="12">
        <f t="shared" si="389"/>
        <v>6170.8724999999995</v>
      </c>
      <c r="H94" s="12">
        <f t="shared" si="389"/>
        <v>6325.6319999999996</v>
      </c>
      <c r="I94" s="12">
        <f t="shared" si="389"/>
        <v>6472.4439999999995</v>
      </c>
      <c r="J94" s="12">
        <f t="shared" si="389"/>
        <v>6611.7420000000002</v>
      </c>
      <c r="K94" s="12">
        <f t="shared" si="389"/>
        <v>6901.7534999999998</v>
      </c>
      <c r="L94" s="12">
        <f t="shared" si="389"/>
        <v>7412.8499999999985</v>
      </c>
      <c r="M94" s="83">
        <f t="shared" si="389"/>
        <v>8287.4796000000006</v>
      </c>
      <c r="N94" s="12">
        <f t="shared" ref="N94:Y94" si="390">SUM(N95:N96)</f>
        <v>5535.5132249999997</v>
      </c>
      <c r="O94" s="12">
        <f t="shared" si="390"/>
        <v>5755.2327000000005</v>
      </c>
      <c r="P94" s="12">
        <f t="shared" si="390"/>
        <v>6064.2575099999995</v>
      </c>
      <c r="Q94" s="12">
        <f t="shared" si="390"/>
        <v>6267.2499540000008</v>
      </c>
      <c r="R94" s="12">
        <f t="shared" si="390"/>
        <v>6549.0578999999998</v>
      </c>
      <c r="S94" s="12">
        <f t="shared" si="390"/>
        <v>6726.2510250000005</v>
      </c>
      <c r="T94" s="12">
        <f t="shared" si="390"/>
        <v>6894.9388799999997</v>
      </c>
      <c r="U94" s="12">
        <f t="shared" si="390"/>
        <v>7054.96396</v>
      </c>
      <c r="V94" s="12">
        <f t="shared" si="390"/>
        <v>7206.798780000001</v>
      </c>
      <c r="W94" s="12">
        <f t="shared" si="390"/>
        <v>7522.9113149999994</v>
      </c>
      <c r="X94" s="12">
        <f t="shared" si="390"/>
        <v>8080.0064999999995</v>
      </c>
      <c r="Y94" s="83">
        <f t="shared" si="390"/>
        <v>9033.3527640000011</v>
      </c>
      <c r="Z94" s="12">
        <f t="shared" ref="Z94:AK94" si="391">SUM(Z95:Z96)</f>
        <v>6033.7094152500003</v>
      </c>
      <c r="AA94" s="12">
        <f t="shared" si="391"/>
        <v>6273.2036430000007</v>
      </c>
      <c r="AB94" s="12">
        <f t="shared" si="391"/>
        <v>6610.0406858999995</v>
      </c>
      <c r="AC94" s="12">
        <f t="shared" si="391"/>
        <v>6831.3024498600016</v>
      </c>
      <c r="AD94" s="12">
        <f t="shared" si="391"/>
        <v>7138.4731110000012</v>
      </c>
      <c r="AE94" s="12">
        <f t="shared" si="391"/>
        <v>7331.613617250001</v>
      </c>
      <c r="AF94" s="12">
        <f t="shared" si="391"/>
        <v>7515.4833791999999</v>
      </c>
      <c r="AG94" s="12">
        <f t="shared" si="391"/>
        <v>7689.9107164000006</v>
      </c>
      <c r="AH94" s="12">
        <f t="shared" si="391"/>
        <v>7855.4106702000017</v>
      </c>
      <c r="AI94" s="12">
        <f t="shared" si="391"/>
        <v>8199.9733333500008</v>
      </c>
      <c r="AJ94" s="12">
        <f t="shared" si="391"/>
        <v>8807.207085</v>
      </c>
      <c r="AK94" s="83">
        <f t="shared" si="391"/>
        <v>9846.3545127600009</v>
      </c>
    </row>
    <row r="95" spans="1:37" x14ac:dyDescent="0.25">
      <c r="A95" s="4" t="s">
        <v>143</v>
      </c>
      <c r="B95" s="13">
        <v>3047.0714999999996</v>
      </c>
      <c r="C95" s="13">
        <v>3168.018</v>
      </c>
      <c r="D95" s="13">
        <v>3338.1233999999995</v>
      </c>
      <c r="E95" s="13">
        <v>3450.4866000000002</v>
      </c>
      <c r="F95" s="13">
        <v>3604.9859999999999</v>
      </c>
      <c r="G95" s="13">
        <v>3702.5234999999998</v>
      </c>
      <c r="H95" s="13">
        <v>3795.3791999999999</v>
      </c>
      <c r="I95" s="13">
        <v>3883.4086000000002</v>
      </c>
      <c r="J95" s="13">
        <v>3967.0452</v>
      </c>
      <c r="K95" s="13">
        <v>4141.0520999999999</v>
      </c>
      <c r="L95" s="13">
        <v>4447.7099999999991</v>
      </c>
      <c r="M95" s="85">
        <v>4972.7651999999998</v>
      </c>
      <c r="N95" s="13">
        <f>B95*$N$27</f>
        <v>3321.3079349999998</v>
      </c>
      <c r="O95" s="13">
        <f t="shared" ref="O95:Y96" si="392">C95*$N$27</f>
        <v>3453.1396200000004</v>
      </c>
      <c r="P95" s="13">
        <f t="shared" si="392"/>
        <v>3638.5545059999995</v>
      </c>
      <c r="Q95" s="13">
        <f t="shared" si="392"/>
        <v>3761.0303940000003</v>
      </c>
      <c r="R95" s="13">
        <f t="shared" si="392"/>
        <v>3929.4347400000001</v>
      </c>
      <c r="S95" s="13">
        <f t="shared" si="392"/>
        <v>4035.7506149999999</v>
      </c>
      <c r="T95" s="13">
        <f t="shared" si="392"/>
        <v>4136.9633279999998</v>
      </c>
      <c r="U95" s="13">
        <f t="shared" si="392"/>
        <v>4232.9153740000002</v>
      </c>
      <c r="V95" s="13">
        <f t="shared" si="392"/>
        <v>4324.0792680000004</v>
      </c>
      <c r="W95" s="13">
        <f t="shared" si="392"/>
        <v>4513.7467889999998</v>
      </c>
      <c r="X95" s="13">
        <f t="shared" si="392"/>
        <v>4848.0038999999997</v>
      </c>
      <c r="Y95" s="85">
        <f t="shared" si="392"/>
        <v>5420.3140680000006</v>
      </c>
      <c r="Z95" s="13">
        <f>N95*$N$27</f>
        <v>3620.2256491500002</v>
      </c>
      <c r="AA95" s="13">
        <f t="shared" ref="AA95:AA96" si="393">O95*$N$27</f>
        <v>3763.9221858000005</v>
      </c>
      <c r="AB95" s="13">
        <f t="shared" ref="AB95:AB96" si="394">P95*$N$27</f>
        <v>3966.0244115399996</v>
      </c>
      <c r="AC95" s="13">
        <f t="shared" ref="AC95:AC96" si="395">Q95*$N$27</f>
        <v>4099.5231294600007</v>
      </c>
      <c r="AD95" s="13">
        <f t="shared" ref="AD95:AD96" si="396">R95*$N$27</f>
        <v>4283.0838666000009</v>
      </c>
      <c r="AE95" s="13">
        <f t="shared" ref="AE95:AE96" si="397">S95*$N$27</f>
        <v>4398.96817035</v>
      </c>
      <c r="AF95" s="13">
        <f t="shared" ref="AF95:AF96" si="398">T95*$N$27</f>
        <v>4509.29002752</v>
      </c>
      <c r="AG95" s="13">
        <f t="shared" ref="AG95:AG96" si="399">U95*$N$27</f>
        <v>4613.8777576600005</v>
      </c>
      <c r="AH95" s="13">
        <f t="shared" ref="AH95:AH96" si="400">V95*$N$27</f>
        <v>4713.2464021200012</v>
      </c>
      <c r="AI95" s="13">
        <f t="shared" ref="AI95:AI96" si="401">W95*$N$27</f>
        <v>4919.9840000100003</v>
      </c>
      <c r="AJ95" s="13">
        <f t="shared" ref="AJ95:AJ96" si="402">X95*$N$27</f>
        <v>5284.324251</v>
      </c>
      <c r="AK95" s="85">
        <f t="shared" ref="AK95:AK96" si="403">Y95*$N$27</f>
        <v>5908.1423341200007</v>
      </c>
    </row>
    <row r="96" spans="1:37" x14ac:dyDescent="0.25">
      <c r="A96" s="4" t="s">
        <v>144</v>
      </c>
      <c r="B96" s="13">
        <v>2031.3809999999996</v>
      </c>
      <c r="C96" s="13">
        <v>2112.0119999999997</v>
      </c>
      <c r="D96" s="13">
        <v>2225.4155999999998</v>
      </c>
      <c r="E96" s="13">
        <v>2299.2840000000001</v>
      </c>
      <c r="F96" s="13">
        <v>2403.3240000000001</v>
      </c>
      <c r="G96" s="13">
        <v>2468.3490000000002</v>
      </c>
      <c r="H96" s="13">
        <v>2530.2527999999998</v>
      </c>
      <c r="I96" s="13">
        <v>2589.0353999999998</v>
      </c>
      <c r="J96" s="13">
        <v>2644.6967999999997</v>
      </c>
      <c r="K96" s="13">
        <v>2760.7013999999999</v>
      </c>
      <c r="L96" s="13">
        <v>2965.14</v>
      </c>
      <c r="M96" s="85">
        <v>3314.7144000000003</v>
      </c>
      <c r="N96" s="13">
        <f>B96*$N$27</f>
        <v>2214.2052899999999</v>
      </c>
      <c r="O96" s="13">
        <f t="shared" si="392"/>
        <v>2302.0930799999996</v>
      </c>
      <c r="P96" s="13">
        <f t="shared" si="392"/>
        <v>2425.703004</v>
      </c>
      <c r="Q96" s="13">
        <f t="shared" si="392"/>
        <v>2506.2195600000005</v>
      </c>
      <c r="R96" s="13">
        <f t="shared" si="392"/>
        <v>2619.6231600000001</v>
      </c>
      <c r="S96" s="13">
        <f t="shared" si="392"/>
        <v>2690.5004100000006</v>
      </c>
      <c r="T96" s="13">
        <f t="shared" si="392"/>
        <v>2757.9755519999999</v>
      </c>
      <c r="U96" s="13">
        <f t="shared" si="392"/>
        <v>2822.0485859999999</v>
      </c>
      <c r="V96" s="13">
        <f t="shared" si="392"/>
        <v>2882.7195120000001</v>
      </c>
      <c r="W96" s="13">
        <f t="shared" si="392"/>
        <v>3009.164526</v>
      </c>
      <c r="X96" s="13">
        <f t="shared" si="392"/>
        <v>3232.0026000000003</v>
      </c>
      <c r="Y96" s="85">
        <f t="shared" si="392"/>
        <v>3613.0386960000005</v>
      </c>
      <c r="Z96" s="13">
        <f>N96*$N$27</f>
        <v>2413.4837661000001</v>
      </c>
      <c r="AA96" s="13">
        <f t="shared" si="393"/>
        <v>2509.2814571999997</v>
      </c>
      <c r="AB96" s="13">
        <f t="shared" si="394"/>
        <v>2644.0162743600004</v>
      </c>
      <c r="AC96" s="13">
        <f t="shared" si="395"/>
        <v>2731.7793204000009</v>
      </c>
      <c r="AD96" s="13">
        <f t="shared" si="396"/>
        <v>2855.3892444000003</v>
      </c>
      <c r="AE96" s="13">
        <f t="shared" si="397"/>
        <v>2932.6454469000009</v>
      </c>
      <c r="AF96" s="13">
        <f t="shared" si="398"/>
        <v>3006.19335168</v>
      </c>
      <c r="AG96" s="13">
        <f t="shared" si="399"/>
        <v>3076.0329587400001</v>
      </c>
      <c r="AH96" s="13">
        <f t="shared" si="400"/>
        <v>3142.1642680800005</v>
      </c>
      <c r="AI96" s="13">
        <f t="shared" si="401"/>
        <v>3279.9893333400005</v>
      </c>
      <c r="AJ96" s="13">
        <f t="shared" si="402"/>
        <v>3522.8828340000005</v>
      </c>
      <c r="AK96" s="85">
        <f t="shared" si="403"/>
        <v>3938.2121786400007</v>
      </c>
    </row>
    <row r="97" spans="1:37" x14ac:dyDescent="0.25"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97">
        <f>M98/M5</f>
        <v>0.56366421555555557</v>
      </c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97">
        <f>Y98/Y5</f>
        <v>0.56763090450505049</v>
      </c>
      <c r="Z97" s="8"/>
      <c r="AA97" s="8"/>
      <c r="AB97" s="8"/>
      <c r="AC97" s="8"/>
      <c r="AD97" s="8"/>
      <c r="AE97" s="8"/>
      <c r="AF97" s="8"/>
      <c r="AG97" s="8"/>
      <c r="AH97" s="8"/>
      <c r="AI97" s="8"/>
      <c r="AJ97" s="8"/>
      <c r="AK97" s="97">
        <f>AK98/AK5</f>
        <v>0.57156153264591369</v>
      </c>
    </row>
    <row r="98" spans="1:37" x14ac:dyDescent="0.25">
      <c r="A98" s="7" t="s">
        <v>32</v>
      </c>
      <c r="B98" s="10">
        <f>B5-B28</f>
        <v>261205.72499999998</v>
      </c>
      <c r="C98" s="10">
        <f t="shared" ref="C98:M98" si="404">C5-C28</f>
        <v>279742.7</v>
      </c>
      <c r="D98" s="10">
        <f t="shared" si="404"/>
        <v>303620.51</v>
      </c>
      <c r="E98" s="10">
        <f t="shared" si="404"/>
        <v>332971.1508</v>
      </c>
      <c r="F98" s="10">
        <f t="shared" si="404"/>
        <v>358327.9</v>
      </c>
      <c r="G98" s="10">
        <f t="shared" si="404"/>
        <v>379083.52500000002</v>
      </c>
      <c r="H98" s="10">
        <f t="shared" si="404"/>
        <v>400282.88</v>
      </c>
      <c r="I98" s="10">
        <f t="shared" si="404"/>
        <v>421925.37379999994</v>
      </c>
      <c r="J98" s="10">
        <f t="shared" si="404"/>
        <v>444012.75</v>
      </c>
      <c r="K98" s="10">
        <f t="shared" si="404"/>
        <v>477520.81499999994</v>
      </c>
      <c r="L98" s="10">
        <f t="shared" si="404"/>
        <v>528456.5</v>
      </c>
      <c r="M98" s="10">
        <f t="shared" si="404"/>
        <v>608757.35279999999</v>
      </c>
      <c r="N98" s="10">
        <f>N5-N28</f>
        <v>290214.24025000003</v>
      </c>
      <c r="O98" s="10">
        <f t="shared" ref="O98:Y98" si="405">O5-O28</f>
        <v>310719.54299999995</v>
      </c>
      <c r="P98" s="10">
        <f t="shared" si="405"/>
        <v>337146.35590000002</v>
      </c>
      <c r="Q98" s="10">
        <f t="shared" si="405"/>
        <v>369538.55437199998</v>
      </c>
      <c r="R98" s="10">
        <f t="shared" si="405"/>
        <v>397577.41099999996</v>
      </c>
      <c r="S98" s="10">
        <f t="shared" si="405"/>
        <v>420501.04225</v>
      </c>
      <c r="T98" s="10">
        <f t="shared" si="405"/>
        <v>443908.33920000005</v>
      </c>
      <c r="U98" s="10">
        <f t="shared" si="405"/>
        <v>467798.65744200005</v>
      </c>
      <c r="V98" s="10">
        <f t="shared" si="405"/>
        <v>492173.89750000008</v>
      </c>
      <c r="W98" s="10">
        <f t="shared" si="405"/>
        <v>529197.68834999995</v>
      </c>
      <c r="X98" s="10">
        <f t="shared" si="405"/>
        <v>585517.58499999996</v>
      </c>
      <c r="Y98" s="79">
        <f t="shared" si="405"/>
        <v>674345.51455199998</v>
      </c>
      <c r="Z98" s="10">
        <f>Z5-Z28</f>
        <v>322383.52187249996</v>
      </c>
      <c r="AA98" s="10">
        <f t="shared" ref="AA98:AK98" si="406">AA5-AA28</f>
        <v>345064.30186999997</v>
      </c>
      <c r="AB98" s="10">
        <f t="shared" si="406"/>
        <v>374309.52793100005</v>
      </c>
      <c r="AC98" s="10">
        <f t="shared" si="406"/>
        <v>410057.02426548011</v>
      </c>
      <c r="AD98" s="10">
        <f t="shared" si="406"/>
        <v>441059.37799000018</v>
      </c>
      <c r="AE98" s="10">
        <f t="shared" si="406"/>
        <v>466376.13605250011</v>
      </c>
      <c r="AF98" s="10">
        <f t="shared" si="406"/>
        <v>492220.08972800011</v>
      </c>
      <c r="AG98" s="10">
        <f t="shared" si="406"/>
        <v>518590.53661178012</v>
      </c>
      <c r="AH98" s="10">
        <f t="shared" si="406"/>
        <v>545489.54827499995</v>
      </c>
      <c r="AI98" s="10">
        <f t="shared" si="406"/>
        <v>586395.48030149995</v>
      </c>
      <c r="AJ98" s="10">
        <f t="shared" si="406"/>
        <v>648664.16764999996</v>
      </c>
      <c r="AK98" s="10">
        <f t="shared" si="406"/>
        <v>746916.61086168012</v>
      </c>
    </row>
    <row r="99" spans="1:37" x14ac:dyDescent="0.25"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7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78"/>
      <c r="Z99" s="8"/>
      <c r="AA99" s="8"/>
      <c r="AB99" s="8"/>
      <c r="AC99" s="8"/>
      <c r="AD99" s="8"/>
      <c r="AE99" s="8"/>
      <c r="AF99" s="8"/>
      <c r="AG99" s="8"/>
      <c r="AH99" s="8"/>
      <c r="AI99" s="8"/>
      <c r="AJ99" s="8"/>
      <c r="AK99" s="78"/>
    </row>
    <row r="100" spans="1:37" x14ac:dyDescent="0.25">
      <c r="A100" s="92" t="s">
        <v>33</v>
      </c>
      <c r="B100" s="11">
        <f>SUM(B101:B105)</f>
        <v>261205.72500000001</v>
      </c>
      <c r="C100" s="11">
        <f>SUM(C101:C105)</f>
        <v>279742.69999999995</v>
      </c>
      <c r="D100" s="11">
        <f>SUM(D101:D105)</f>
        <v>303620.51</v>
      </c>
      <c r="E100" s="11">
        <f t="shared" ref="E100:M100" si="407">SUM(E101:E105)</f>
        <v>332971.15080000006</v>
      </c>
      <c r="F100" s="11">
        <f t="shared" si="407"/>
        <v>358327.9</v>
      </c>
      <c r="G100" s="11">
        <f t="shared" si="407"/>
        <v>379083.52500000002</v>
      </c>
      <c r="H100" s="11">
        <f t="shared" si="407"/>
        <v>400282.88</v>
      </c>
      <c r="I100" s="11">
        <f t="shared" si="407"/>
        <v>421925.37379999994</v>
      </c>
      <c r="J100" s="11">
        <f t="shared" si="407"/>
        <v>444012.75</v>
      </c>
      <c r="K100" s="11">
        <f t="shared" si="407"/>
        <v>477520.81499999994</v>
      </c>
      <c r="L100" s="11">
        <f t="shared" si="407"/>
        <v>528456.5</v>
      </c>
      <c r="M100" s="80">
        <f t="shared" si="407"/>
        <v>608757.35279999999</v>
      </c>
      <c r="N100" s="11">
        <f>SUM(N101:N105)</f>
        <v>290214.24025000003</v>
      </c>
      <c r="O100" s="11">
        <f>SUM(O101:O105)</f>
        <v>310719.54299999995</v>
      </c>
      <c r="P100" s="11">
        <f>SUM(P101:P105)</f>
        <v>337146.35590000008</v>
      </c>
      <c r="Q100" s="11">
        <f t="shared" ref="Q100:Y100" si="408">SUM(Q101:Q105)</f>
        <v>369538.5543720001</v>
      </c>
      <c r="R100" s="11">
        <f t="shared" si="408"/>
        <v>397577.41100000002</v>
      </c>
      <c r="S100" s="11">
        <f t="shared" si="408"/>
        <v>420501.04225000006</v>
      </c>
      <c r="T100" s="11">
        <f t="shared" si="408"/>
        <v>443908.3392000001</v>
      </c>
      <c r="U100" s="11">
        <f t="shared" si="408"/>
        <v>467798.65744200011</v>
      </c>
      <c r="V100" s="11">
        <f t="shared" si="408"/>
        <v>492173.8975000002</v>
      </c>
      <c r="W100" s="11">
        <f t="shared" si="408"/>
        <v>529197.68834999995</v>
      </c>
      <c r="X100" s="11">
        <f t="shared" si="408"/>
        <v>585517.58499999996</v>
      </c>
      <c r="Y100" s="80">
        <f t="shared" si="408"/>
        <v>674345.51455199998</v>
      </c>
      <c r="Z100" s="11">
        <f>SUM(Z101:Z105)</f>
        <v>322383.52187250007</v>
      </c>
      <c r="AA100" s="11">
        <f>SUM(AA101:AA105)</f>
        <v>345064.30187000008</v>
      </c>
      <c r="AB100" s="11">
        <f>SUM(AB101:AB105)</f>
        <v>374309.52793100005</v>
      </c>
      <c r="AC100" s="11">
        <f t="shared" ref="AC100:AK100" si="409">SUM(AC101:AC105)</f>
        <v>410057.02426548011</v>
      </c>
      <c r="AD100" s="11">
        <f t="shared" si="409"/>
        <v>441059.37799000018</v>
      </c>
      <c r="AE100" s="11">
        <f t="shared" si="409"/>
        <v>466376.13605250011</v>
      </c>
      <c r="AF100" s="11">
        <f t="shared" si="409"/>
        <v>492220.08972800011</v>
      </c>
      <c r="AG100" s="11">
        <f t="shared" si="409"/>
        <v>518590.53661178018</v>
      </c>
      <c r="AH100" s="11">
        <f t="shared" si="409"/>
        <v>545489.54827500007</v>
      </c>
      <c r="AI100" s="11">
        <f t="shared" si="409"/>
        <v>586395.48030150007</v>
      </c>
      <c r="AJ100" s="11">
        <f t="shared" si="409"/>
        <v>648664.16765000008</v>
      </c>
      <c r="AK100" s="80">
        <f t="shared" si="409"/>
        <v>746916.61086168012</v>
      </c>
    </row>
    <row r="101" spans="1:37" x14ac:dyDescent="0.25">
      <c r="A101" s="1" t="s">
        <v>130</v>
      </c>
      <c r="B101" s="8">
        <v>78361.717499999999</v>
      </c>
      <c r="C101" s="8">
        <v>83922.81</v>
      </c>
      <c r="D101" s="8">
        <v>91086.15300000002</v>
      </c>
      <c r="E101" s="8">
        <v>99891.296999999991</v>
      </c>
      <c r="F101" s="8">
        <v>107498.37000000001</v>
      </c>
      <c r="G101" s="8">
        <v>113725.05750000001</v>
      </c>
      <c r="H101" s="8">
        <v>120084.864</v>
      </c>
      <c r="I101" s="8">
        <v>126577.7763</v>
      </c>
      <c r="J101" s="8">
        <v>133203.804</v>
      </c>
      <c r="K101" s="8">
        <v>143256.2445</v>
      </c>
      <c r="L101" s="8">
        <v>158536.95000000001</v>
      </c>
      <c r="M101" s="78">
        <v>182627.622</v>
      </c>
      <c r="N101" s="8">
        <f t="shared" ref="N101:AK101" si="410">N20-N31</f>
        <v>87064.272075000015</v>
      </c>
      <c r="O101" s="8">
        <f t="shared" si="410"/>
        <v>93215.862900000007</v>
      </c>
      <c r="P101" s="8">
        <f t="shared" si="410"/>
        <v>101143.90677000003</v>
      </c>
      <c r="Q101" s="8">
        <f t="shared" si="410"/>
        <v>110861.51373000002</v>
      </c>
      <c r="R101" s="8">
        <f t="shared" si="410"/>
        <v>119273.22330000003</v>
      </c>
      <c r="S101" s="8">
        <f t="shared" si="410"/>
        <v>126150.31267500002</v>
      </c>
      <c r="T101" s="8">
        <f t="shared" si="410"/>
        <v>133172.50176000001</v>
      </c>
      <c r="U101" s="8">
        <f t="shared" si="410"/>
        <v>140339.77616700003</v>
      </c>
      <c r="V101" s="8">
        <f t="shared" si="410"/>
        <v>147652.14636000001</v>
      </c>
      <c r="W101" s="8">
        <f t="shared" si="410"/>
        <v>158759.30650499999</v>
      </c>
      <c r="X101" s="8">
        <f t="shared" si="410"/>
        <v>175655.27549999999</v>
      </c>
      <c r="Y101" s="78">
        <f t="shared" si="410"/>
        <v>202304.10797999997</v>
      </c>
      <c r="Z101" s="8">
        <f t="shared" si="410"/>
        <v>96715.05656175004</v>
      </c>
      <c r="AA101" s="8">
        <f t="shared" si="410"/>
        <v>103519.29056100003</v>
      </c>
      <c r="AB101" s="8">
        <f t="shared" si="410"/>
        <v>112292.85837930004</v>
      </c>
      <c r="AC101" s="8">
        <f t="shared" si="410"/>
        <v>123017.04996570005</v>
      </c>
      <c r="AD101" s="8">
        <f t="shared" si="410"/>
        <v>132317.81339700005</v>
      </c>
      <c r="AE101" s="8">
        <f t="shared" si="410"/>
        <v>139912.84081575004</v>
      </c>
      <c r="AF101" s="8">
        <f t="shared" si="410"/>
        <v>147666.02691840002</v>
      </c>
      <c r="AG101" s="8">
        <f t="shared" si="410"/>
        <v>155577.35602203006</v>
      </c>
      <c r="AH101" s="8">
        <f t="shared" si="410"/>
        <v>163646.83953239999</v>
      </c>
      <c r="AI101" s="8">
        <f t="shared" si="410"/>
        <v>175918.64409044999</v>
      </c>
      <c r="AJ101" s="8">
        <f t="shared" si="410"/>
        <v>194599.25029499998</v>
      </c>
      <c r="AK101" s="78">
        <f t="shared" si="410"/>
        <v>224075.47769820003</v>
      </c>
    </row>
    <row r="102" spans="1:37" x14ac:dyDescent="0.25">
      <c r="A102" s="1" t="s">
        <v>131</v>
      </c>
      <c r="B102" s="8">
        <v>65301.431249999994</v>
      </c>
      <c r="C102" s="8">
        <v>69935.675000000003</v>
      </c>
      <c r="D102" s="8">
        <v>75905.127500000002</v>
      </c>
      <c r="E102" s="8">
        <v>83242.747499999998</v>
      </c>
      <c r="F102" s="8">
        <v>89581.975000000006</v>
      </c>
      <c r="G102" s="8">
        <v>94770.881250000006</v>
      </c>
      <c r="H102" s="8">
        <v>100070.72</v>
      </c>
      <c r="I102" s="8">
        <v>105481.05775000001</v>
      </c>
      <c r="J102" s="8">
        <v>111003.19500000001</v>
      </c>
      <c r="K102" s="8">
        <v>119380.20375</v>
      </c>
      <c r="L102" s="8">
        <v>132114.125</v>
      </c>
      <c r="M102" s="78">
        <v>152189.685</v>
      </c>
      <c r="N102" s="8">
        <f t="shared" ref="N102:AK102" si="411">N21-N34</f>
        <v>72553.560062499993</v>
      </c>
      <c r="O102" s="8">
        <f t="shared" si="411"/>
        <v>77679.885749999987</v>
      </c>
      <c r="P102" s="8">
        <f t="shared" si="411"/>
        <v>84286.588974999991</v>
      </c>
      <c r="Q102" s="8">
        <f t="shared" si="411"/>
        <v>92384.59477500002</v>
      </c>
      <c r="R102" s="8">
        <f t="shared" si="411"/>
        <v>99394.35275000002</v>
      </c>
      <c r="S102" s="8">
        <f t="shared" si="411"/>
        <v>105125.26056250001</v>
      </c>
      <c r="T102" s="8">
        <f t="shared" si="411"/>
        <v>110977.08480000004</v>
      </c>
      <c r="U102" s="8">
        <f t="shared" si="411"/>
        <v>116949.35294750004</v>
      </c>
      <c r="V102" s="8">
        <f t="shared" si="411"/>
        <v>123043.48255000004</v>
      </c>
      <c r="W102" s="8">
        <f t="shared" si="411"/>
        <v>132299.42208750002</v>
      </c>
      <c r="X102" s="8">
        <f t="shared" si="411"/>
        <v>146379.39625000002</v>
      </c>
      <c r="Y102" s="78">
        <f t="shared" si="411"/>
        <v>168586.75665</v>
      </c>
      <c r="Z102" s="8">
        <f t="shared" si="411"/>
        <v>80595.880468124989</v>
      </c>
      <c r="AA102" s="8">
        <f t="shared" si="411"/>
        <v>86266.075467499992</v>
      </c>
      <c r="AB102" s="8">
        <f t="shared" si="411"/>
        <v>93577.381982750027</v>
      </c>
      <c r="AC102" s="8">
        <f t="shared" si="411"/>
        <v>102514.20830475003</v>
      </c>
      <c r="AD102" s="8">
        <f t="shared" si="411"/>
        <v>110264.84449750005</v>
      </c>
      <c r="AE102" s="8">
        <f t="shared" si="411"/>
        <v>116594.03401312504</v>
      </c>
      <c r="AF102" s="8">
        <f t="shared" si="411"/>
        <v>123055.02243200006</v>
      </c>
      <c r="AG102" s="8">
        <f t="shared" si="411"/>
        <v>129647.29471277507</v>
      </c>
      <c r="AH102" s="8">
        <f t="shared" si="411"/>
        <v>136372.39597950006</v>
      </c>
      <c r="AI102" s="8">
        <f t="shared" si="411"/>
        <v>146598.87007537502</v>
      </c>
      <c r="AJ102" s="8">
        <f t="shared" si="411"/>
        <v>162166.04191250005</v>
      </c>
      <c r="AK102" s="78">
        <f t="shared" si="411"/>
        <v>186729.56474849998</v>
      </c>
    </row>
    <row r="103" spans="1:37" x14ac:dyDescent="0.25">
      <c r="A103" s="1" t="s">
        <v>132</v>
      </c>
      <c r="B103" s="8">
        <v>65301.431249999994</v>
      </c>
      <c r="C103" s="8">
        <v>69935.675000000003</v>
      </c>
      <c r="D103" s="8">
        <v>75905.127500000002</v>
      </c>
      <c r="E103" s="8">
        <v>83242.747499999998</v>
      </c>
      <c r="F103" s="8">
        <v>89581.975000000006</v>
      </c>
      <c r="G103" s="8">
        <v>94770.881250000006</v>
      </c>
      <c r="H103" s="8">
        <v>100070.72</v>
      </c>
      <c r="I103" s="8">
        <v>105481.05775000001</v>
      </c>
      <c r="J103" s="8">
        <v>111003.19500000001</v>
      </c>
      <c r="K103" s="8">
        <v>119380.20375</v>
      </c>
      <c r="L103" s="8">
        <v>132114.125</v>
      </c>
      <c r="M103" s="78">
        <v>152189.685</v>
      </c>
      <c r="N103" s="8">
        <f t="shared" ref="N103:AK103" si="412">N22-N37</f>
        <v>72553.560062499993</v>
      </c>
      <c r="O103" s="8">
        <f t="shared" si="412"/>
        <v>77679.885749999987</v>
      </c>
      <c r="P103" s="8">
        <f t="shared" si="412"/>
        <v>84286.588974999991</v>
      </c>
      <c r="Q103" s="8">
        <f t="shared" si="412"/>
        <v>92384.59477500002</v>
      </c>
      <c r="R103" s="8">
        <f t="shared" si="412"/>
        <v>99394.35275000002</v>
      </c>
      <c r="S103" s="8">
        <f t="shared" si="412"/>
        <v>105125.26056250001</v>
      </c>
      <c r="T103" s="8">
        <f t="shared" si="412"/>
        <v>110977.08480000004</v>
      </c>
      <c r="U103" s="8">
        <f t="shared" si="412"/>
        <v>116949.35294750004</v>
      </c>
      <c r="V103" s="8">
        <f t="shared" si="412"/>
        <v>123043.48255000004</v>
      </c>
      <c r="W103" s="8">
        <f t="shared" si="412"/>
        <v>132299.42208750002</v>
      </c>
      <c r="X103" s="8">
        <f t="shared" si="412"/>
        <v>146379.39625000002</v>
      </c>
      <c r="Y103" s="78">
        <f t="shared" si="412"/>
        <v>168586.75665</v>
      </c>
      <c r="Z103" s="8">
        <f t="shared" si="412"/>
        <v>80595.880468124989</v>
      </c>
      <c r="AA103" s="8">
        <f t="shared" si="412"/>
        <v>86266.075467499992</v>
      </c>
      <c r="AB103" s="8">
        <f t="shared" si="412"/>
        <v>93577.381982750027</v>
      </c>
      <c r="AC103" s="8">
        <f t="shared" si="412"/>
        <v>102514.20830475003</v>
      </c>
      <c r="AD103" s="8">
        <f t="shared" si="412"/>
        <v>110264.84449750005</v>
      </c>
      <c r="AE103" s="8">
        <f t="shared" si="412"/>
        <v>116594.03401312504</v>
      </c>
      <c r="AF103" s="8">
        <f t="shared" si="412"/>
        <v>123055.02243200006</v>
      </c>
      <c r="AG103" s="8">
        <f t="shared" si="412"/>
        <v>129647.29471277507</v>
      </c>
      <c r="AH103" s="8">
        <f t="shared" si="412"/>
        <v>136372.39597950006</v>
      </c>
      <c r="AI103" s="8">
        <f t="shared" si="412"/>
        <v>146598.87007537502</v>
      </c>
      <c r="AJ103" s="8">
        <f t="shared" si="412"/>
        <v>162166.04191250005</v>
      </c>
      <c r="AK103" s="78">
        <f t="shared" si="412"/>
        <v>186729.56474849998</v>
      </c>
    </row>
    <row r="104" spans="1:37" x14ac:dyDescent="0.25">
      <c r="A104" s="1" t="s">
        <v>133</v>
      </c>
      <c r="B104" s="8">
        <v>26120.572500000002</v>
      </c>
      <c r="C104" s="8">
        <v>27974.27</v>
      </c>
      <c r="D104" s="8">
        <v>30362.051000000003</v>
      </c>
      <c r="E104" s="8">
        <v>33297.179399999994</v>
      </c>
      <c r="F104" s="8">
        <v>35832.789999999994</v>
      </c>
      <c r="G104" s="8">
        <v>37908.352500000001</v>
      </c>
      <c r="H104" s="8">
        <v>40028.288</v>
      </c>
      <c r="I104" s="8">
        <v>42192.741000000002</v>
      </c>
      <c r="J104" s="8">
        <v>44401.277999999998</v>
      </c>
      <c r="K104" s="8">
        <v>47752.0815</v>
      </c>
      <c r="L104" s="8">
        <v>52845.649999999994</v>
      </c>
      <c r="M104" s="78">
        <v>60875.180399999997</v>
      </c>
      <c r="N104" s="8">
        <f t="shared" ref="N104:AK104" si="413">N23-N40</f>
        <v>29021.424025000008</v>
      </c>
      <c r="O104" s="8">
        <f t="shared" si="413"/>
        <v>31071.954300000005</v>
      </c>
      <c r="P104" s="8">
        <f t="shared" si="413"/>
        <v>33714.635590000005</v>
      </c>
      <c r="Q104" s="8">
        <f t="shared" si="413"/>
        <v>36953.925545999999</v>
      </c>
      <c r="R104" s="8">
        <f t="shared" si="413"/>
        <v>39757.741099999999</v>
      </c>
      <c r="S104" s="8">
        <f t="shared" si="413"/>
        <v>42050.104224999995</v>
      </c>
      <c r="T104" s="8">
        <f t="shared" si="413"/>
        <v>44390.833919999997</v>
      </c>
      <c r="U104" s="8">
        <f t="shared" si="413"/>
        <v>46780.08769</v>
      </c>
      <c r="V104" s="8">
        <f t="shared" si="413"/>
        <v>49217.39302000001</v>
      </c>
      <c r="W104" s="8">
        <f t="shared" si="413"/>
        <v>52919.76883500001</v>
      </c>
      <c r="X104" s="8">
        <f t="shared" si="413"/>
        <v>58551.758500000011</v>
      </c>
      <c r="Y104" s="78">
        <f t="shared" si="413"/>
        <v>67433.946636000008</v>
      </c>
      <c r="Z104" s="8">
        <f t="shared" si="413"/>
        <v>32238.352187250013</v>
      </c>
      <c r="AA104" s="8">
        <f t="shared" si="413"/>
        <v>34506.430187000005</v>
      </c>
      <c r="AB104" s="8">
        <f t="shared" si="413"/>
        <v>37430.952793099998</v>
      </c>
      <c r="AC104" s="8">
        <f t="shared" si="413"/>
        <v>41005.77884513999</v>
      </c>
      <c r="AD104" s="8">
        <f t="shared" si="413"/>
        <v>44105.937798999992</v>
      </c>
      <c r="AE104" s="8">
        <f t="shared" si="413"/>
        <v>46637.613605249993</v>
      </c>
      <c r="AF104" s="8">
        <f t="shared" si="413"/>
        <v>49222.008972800009</v>
      </c>
      <c r="AG104" s="8">
        <f t="shared" si="413"/>
        <v>51859.295582100007</v>
      </c>
      <c r="AH104" s="8">
        <f t="shared" si="413"/>
        <v>54548.958391800021</v>
      </c>
      <c r="AI104" s="8">
        <f t="shared" si="413"/>
        <v>58639.548030150021</v>
      </c>
      <c r="AJ104" s="8">
        <f t="shared" si="413"/>
        <v>64866.416765000024</v>
      </c>
      <c r="AK104" s="78">
        <f t="shared" si="413"/>
        <v>74691.001833240021</v>
      </c>
    </row>
    <row r="105" spans="1:37" x14ac:dyDescent="0.25">
      <c r="A105" s="1" t="s">
        <v>134</v>
      </c>
      <c r="B105" s="8">
        <v>26120.572500000002</v>
      </c>
      <c r="C105" s="8">
        <v>27974.27</v>
      </c>
      <c r="D105" s="8">
        <v>30362.051000000003</v>
      </c>
      <c r="E105" s="8">
        <v>33297.179399999994</v>
      </c>
      <c r="F105" s="8">
        <v>35832.789999999994</v>
      </c>
      <c r="G105" s="8">
        <v>37908.352500000001</v>
      </c>
      <c r="H105" s="8">
        <v>40028.288</v>
      </c>
      <c r="I105" s="8">
        <v>42192.741000000002</v>
      </c>
      <c r="J105" s="8">
        <v>44401.277999999998</v>
      </c>
      <c r="K105" s="8">
        <v>47752.0815</v>
      </c>
      <c r="L105" s="8">
        <v>52845.649999999994</v>
      </c>
      <c r="M105" s="78">
        <v>60875.180399999997</v>
      </c>
      <c r="N105" s="8">
        <f t="shared" ref="N105:AK105" si="414">N24-N43</f>
        <v>29021.424025000008</v>
      </c>
      <c r="O105" s="8">
        <f t="shared" si="414"/>
        <v>31071.954300000005</v>
      </c>
      <c r="P105" s="8">
        <f t="shared" si="414"/>
        <v>33714.635590000005</v>
      </c>
      <c r="Q105" s="8">
        <f t="shared" si="414"/>
        <v>36953.925545999999</v>
      </c>
      <c r="R105" s="8">
        <f t="shared" si="414"/>
        <v>39757.741099999999</v>
      </c>
      <c r="S105" s="8">
        <f t="shared" si="414"/>
        <v>42050.104224999995</v>
      </c>
      <c r="T105" s="8">
        <f t="shared" si="414"/>
        <v>44390.833919999997</v>
      </c>
      <c r="U105" s="8">
        <f t="shared" si="414"/>
        <v>46780.08769</v>
      </c>
      <c r="V105" s="8">
        <f t="shared" si="414"/>
        <v>49217.39302000001</v>
      </c>
      <c r="W105" s="8">
        <f t="shared" si="414"/>
        <v>52919.76883500001</v>
      </c>
      <c r="X105" s="8">
        <f t="shared" si="414"/>
        <v>58551.758500000011</v>
      </c>
      <c r="Y105" s="78">
        <f t="shared" si="414"/>
        <v>67433.946636000008</v>
      </c>
      <c r="Z105" s="8">
        <f t="shared" si="414"/>
        <v>32238.352187250013</v>
      </c>
      <c r="AA105" s="8">
        <f t="shared" si="414"/>
        <v>34506.430187000005</v>
      </c>
      <c r="AB105" s="8">
        <f t="shared" si="414"/>
        <v>37430.952793099998</v>
      </c>
      <c r="AC105" s="8">
        <f t="shared" si="414"/>
        <v>41005.77884513999</v>
      </c>
      <c r="AD105" s="8">
        <f t="shared" si="414"/>
        <v>44105.937798999992</v>
      </c>
      <c r="AE105" s="8">
        <f t="shared" si="414"/>
        <v>46637.613605249993</v>
      </c>
      <c r="AF105" s="8">
        <f t="shared" si="414"/>
        <v>49222.008972800009</v>
      </c>
      <c r="AG105" s="8">
        <f t="shared" si="414"/>
        <v>51859.295582100007</v>
      </c>
      <c r="AH105" s="8">
        <f t="shared" si="414"/>
        <v>54548.958391800021</v>
      </c>
      <c r="AI105" s="8">
        <f t="shared" si="414"/>
        <v>58639.548030150021</v>
      </c>
      <c r="AJ105" s="8">
        <f t="shared" si="414"/>
        <v>64866.416765000024</v>
      </c>
      <c r="AK105" s="78">
        <f t="shared" si="414"/>
        <v>74691.001833240021</v>
      </c>
    </row>
    <row r="106" spans="1:37" x14ac:dyDescent="0.25">
      <c r="A106" s="1"/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97">
        <f>M107/M5</f>
        <v>0.3</v>
      </c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97">
        <f>Y107/Y5</f>
        <v>0.29845454545454547</v>
      </c>
      <c r="Z106" s="8"/>
      <c r="AA106" s="8"/>
      <c r="AB106" s="8"/>
      <c r="AC106" s="8"/>
      <c r="AD106" s="8"/>
      <c r="AE106" s="8"/>
      <c r="AF106" s="8"/>
      <c r="AG106" s="8"/>
      <c r="AH106" s="8"/>
      <c r="AI106" s="8"/>
      <c r="AJ106" s="8"/>
      <c r="AK106" s="97">
        <f>AK107/AK5</f>
        <v>0.29692314049586777</v>
      </c>
    </row>
    <row r="107" spans="1:37" x14ac:dyDescent="0.25">
      <c r="A107" s="7" t="s">
        <v>34</v>
      </c>
      <c r="B107" s="10">
        <f t="shared" ref="B107:M107" si="415">B109+B116</f>
        <v>165000</v>
      </c>
      <c r="C107" s="10">
        <f t="shared" si="415"/>
        <v>174000</v>
      </c>
      <c r="D107" s="10">
        <f t="shared" si="415"/>
        <v>186000</v>
      </c>
      <c r="E107" s="10">
        <f t="shared" si="415"/>
        <v>198000</v>
      </c>
      <c r="F107" s="10">
        <f t="shared" si="415"/>
        <v>210000</v>
      </c>
      <c r="G107" s="10">
        <f t="shared" si="415"/>
        <v>219000</v>
      </c>
      <c r="H107" s="10">
        <f t="shared" si="415"/>
        <v>228000</v>
      </c>
      <c r="I107" s="10">
        <f t="shared" si="415"/>
        <v>237000</v>
      </c>
      <c r="J107" s="10">
        <f t="shared" si="415"/>
        <v>246000</v>
      </c>
      <c r="K107" s="10">
        <f t="shared" si="415"/>
        <v>261000</v>
      </c>
      <c r="L107" s="10">
        <f t="shared" si="415"/>
        <v>285000</v>
      </c>
      <c r="M107" s="79">
        <f t="shared" si="415"/>
        <v>324000</v>
      </c>
      <c r="N107" s="10">
        <f t="shared" ref="N107:Y107" si="416">N109+N116</f>
        <v>180565</v>
      </c>
      <c r="O107" s="10">
        <f t="shared" si="416"/>
        <v>190414</v>
      </c>
      <c r="P107" s="10">
        <f t="shared" si="416"/>
        <v>203546</v>
      </c>
      <c r="Q107" s="10">
        <f t="shared" si="416"/>
        <v>216678</v>
      </c>
      <c r="R107" s="10">
        <f t="shared" si="416"/>
        <v>229810</v>
      </c>
      <c r="S107" s="10">
        <f t="shared" si="416"/>
        <v>239659</v>
      </c>
      <c r="T107" s="10">
        <f t="shared" si="416"/>
        <v>249508</v>
      </c>
      <c r="U107" s="10">
        <f t="shared" si="416"/>
        <v>259357</v>
      </c>
      <c r="V107" s="10">
        <f t="shared" si="416"/>
        <v>269206</v>
      </c>
      <c r="W107" s="10">
        <f t="shared" si="416"/>
        <v>285621</v>
      </c>
      <c r="X107" s="10">
        <f t="shared" si="416"/>
        <v>311885</v>
      </c>
      <c r="Y107" s="79">
        <f t="shared" si="416"/>
        <v>354564</v>
      </c>
      <c r="Z107" s="10">
        <f t="shared" ref="Z107:AK107" si="417">Z109+Z116</f>
        <v>197241.75</v>
      </c>
      <c r="AA107" s="10">
        <f t="shared" si="417"/>
        <v>208380.66000000003</v>
      </c>
      <c r="AB107" s="10">
        <f t="shared" si="417"/>
        <v>222751.74000000002</v>
      </c>
      <c r="AC107" s="10">
        <f t="shared" si="417"/>
        <v>237122.82000000004</v>
      </c>
      <c r="AD107" s="10">
        <f t="shared" si="417"/>
        <v>251493.90000000005</v>
      </c>
      <c r="AE107" s="10">
        <f t="shared" si="417"/>
        <v>262272.21000000002</v>
      </c>
      <c r="AF107" s="10">
        <f t="shared" si="417"/>
        <v>273050.52</v>
      </c>
      <c r="AG107" s="10">
        <f t="shared" si="417"/>
        <v>283828.83000000007</v>
      </c>
      <c r="AH107" s="10">
        <f t="shared" si="417"/>
        <v>294607.14</v>
      </c>
      <c r="AI107" s="10">
        <f t="shared" si="417"/>
        <v>312570.99000000005</v>
      </c>
      <c r="AJ107" s="10">
        <f t="shared" si="417"/>
        <v>341313.15</v>
      </c>
      <c r="AK107" s="79">
        <f t="shared" si="417"/>
        <v>388019.16000000003</v>
      </c>
    </row>
    <row r="108" spans="1:37" x14ac:dyDescent="0.25"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78"/>
      <c r="N108" s="95">
        <v>1.0900000000000001</v>
      </c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100">
        <f>Y109/M109</f>
        <v>1.0900000000000001</v>
      </c>
      <c r="Z108" s="95">
        <v>1.08</v>
      </c>
      <c r="AA108" s="8"/>
      <c r="AB108" s="8"/>
      <c r="AC108" s="8"/>
      <c r="AD108" s="8"/>
      <c r="AE108" s="8"/>
      <c r="AF108" s="8"/>
      <c r="AG108" s="8"/>
      <c r="AH108" s="8"/>
      <c r="AI108" s="8"/>
      <c r="AJ108" s="8"/>
      <c r="AK108" s="78">
        <f>AK109/Y109</f>
        <v>1.0900000000000001</v>
      </c>
    </row>
    <row r="109" spans="1:37" x14ac:dyDescent="0.25">
      <c r="A109" s="92" t="s">
        <v>35</v>
      </c>
      <c r="B109" s="11">
        <f>SUM(B110:B114)</f>
        <v>93500</v>
      </c>
      <c r="C109" s="11">
        <f t="shared" ref="C109:L109" si="418">SUM(C110:C114)</f>
        <v>98600</v>
      </c>
      <c r="D109" s="11">
        <f t="shared" si="418"/>
        <v>105400</v>
      </c>
      <c r="E109" s="11">
        <f t="shared" si="418"/>
        <v>112200</v>
      </c>
      <c r="F109" s="11">
        <f t="shared" si="418"/>
        <v>119000</v>
      </c>
      <c r="G109" s="11">
        <f t="shared" si="418"/>
        <v>124100</v>
      </c>
      <c r="H109" s="11">
        <f t="shared" si="418"/>
        <v>129200</v>
      </c>
      <c r="I109" s="11">
        <f t="shared" si="418"/>
        <v>134300</v>
      </c>
      <c r="J109" s="11">
        <f t="shared" si="418"/>
        <v>139400</v>
      </c>
      <c r="K109" s="11">
        <f t="shared" si="418"/>
        <v>147900</v>
      </c>
      <c r="L109" s="11">
        <f t="shared" si="418"/>
        <v>161500</v>
      </c>
      <c r="M109" s="80">
        <f>SUM(M110:M114)</f>
        <v>183600</v>
      </c>
      <c r="N109" s="11">
        <f>SUM(N110:N114)</f>
        <v>101915</v>
      </c>
      <c r="O109" s="11">
        <f t="shared" ref="O109:X109" si="419">SUM(O110:O114)</f>
        <v>107474</v>
      </c>
      <c r="P109" s="11">
        <f t="shared" si="419"/>
        <v>114886</v>
      </c>
      <c r="Q109" s="11">
        <f t="shared" si="419"/>
        <v>122298</v>
      </c>
      <c r="R109" s="11">
        <f t="shared" si="419"/>
        <v>129710</v>
      </c>
      <c r="S109" s="11">
        <f t="shared" si="419"/>
        <v>135269</v>
      </c>
      <c r="T109" s="11">
        <f t="shared" si="419"/>
        <v>140828</v>
      </c>
      <c r="U109" s="11">
        <f t="shared" si="419"/>
        <v>146387</v>
      </c>
      <c r="V109" s="11">
        <f t="shared" si="419"/>
        <v>151946</v>
      </c>
      <c r="W109" s="11">
        <f t="shared" si="419"/>
        <v>161211</v>
      </c>
      <c r="X109" s="11">
        <f t="shared" si="419"/>
        <v>176035</v>
      </c>
      <c r="Y109" s="80">
        <f>SUM(Y110:Y114)</f>
        <v>200124</v>
      </c>
      <c r="Z109" s="11">
        <f>SUM(Z110:Z114)</f>
        <v>110825.75000000001</v>
      </c>
      <c r="AA109" s="11">
        <f t="shared" ref="AA109:AJ109" si="420">SUM(AA110:AA114)</f>
        <v>117146.66000000003</v>
      </c>
      <c r="AB109" s="11">
        <f t="shared" si="420"/>
        <v>125225.74000000002</v>
      </c>
      <c r="AC109" s="11">
        <f t="shared" si="420"/>
        <v>133304.82</v>
      </c>
      <c r="AD109" s="11">
        <f t="shared" si="420"/>
        <v>141383.90000000002</v>
      </c>
      <c r="AE109" s="11">
        <f t="shared" si="420"/>
        <v>147443.21000000002</v>
      </c>
      <c r="AF109" s="11">
        <f t="shared" si="420"/>
        <v>153502.52000000002</v>
      </c>
      <c r="AG109" s="11">
        <f t="shared" si="420"/>
        <v>159561.83000000002</v>
      </c>
      <c r="AH109" s="11">
        <f t="shared" si="420"/>
        <v>165621.14000000001</v>
      </c>
      <c r="AI109" s="11">
        <f t="shared" si="420"/>
        <v>175719.99000000002</v>
      </c>
      <c r="AJ109" s="11">
        <f t="shared" si="420"/>
        <v>191878.15</v>
      </c>
      <c r="AK109" s="80">
        <f>SUM(AK110:AK114)</f>
        <v>218135.16000000003</v>
      </c>
    </row>
    <row r="110" spans="1:37" x14ac:dyDescent="0.25">
      <c r="A110" s="1" t="s">
        <v>36</v>
      </c>
      <c r="B110" s="13">
        <v>24000</v>
      </c>
      <c r="C110" s="13">
        <v>25300</v>
      </c>
      <c r="D110" s="13">
        <v>27000</v>
      </c>
      <c r="E110" s="13">
        <v>28800</v>
      </c>
      <c r="F110" s="13">
        <v>30500</v>
      </c>
      <c r="G110" s="13">
        <v>31800</v>
      </c>
      <c r="H110" s="13">
        <v>33100</v>
      </c>
      <c r="I110" s="13">
        <v>34400</v>
      </c>
      <c r="J110" s="13">
        <v>35700</v>
      </c>
      <c r="K110" s="13">
        <v>37900</v>
      </c>
      <c r="L110" s="13">
        <v>41400</v>
      </c>
      <c r="M110" s="85">
        <v>47000</v>
      </c>
      <c r="N110" s="13">
        <f>B110*$N$108</f>
        <v>26160.000000000004</v>
      </c>
      <c r="O110" s="13">
        <f t="shared" ref="O110:Y114" si="421">C110*$N$108</f>
        <v>27577.000000000004</v>
      </c>
      <c r="P110" s="13">
        <f t="shared" si="421"/>
        <v>29430.000000000004</v>
      </c>
      <c r="Q110" s="13">
        <f t="shared" si="421"/>
        <v>31392.000000000004</v>
      </c>
      <c r="R110" s="13">
        <f t="shared" si="421"/>
        <v>33245</v>
      </c>
      <c r="S110" s="13">
        <f t="shared" si="421"/>
        <v>34662</v>
      </c>
      <c r="T110" s="13">
        <f t="shared" si="421"/>
        <v>36079</v>
      </c>
      <c r="U110" s="13">
        <f t="shared" si="421"/>
        <v>37496</v>
      </c>
      <c r="V110" s="13">
        <f t="shared" si="421"/>
        <v>38913</v>
      </c>
      <c r="W110" s="13">
        <f t="shared" si="421"/>
        <v>41311</v>
      </c>
      <c r="X110" s="13">
        <f t="shared" si="421"/>
        <v>45126</v>
      </c>
      <c r="Y110" s="85">
        <f t="shared" si="421"/>
        <v>51230.000000000007</v>
      </c>
      <c r="Z110" s="13">
        <f>N110*$Z$108</f>
        <v>28252.800000000007</v>
      </c>
      <c r="AA110" s="13">
        <f t="shared" ref="AA110:AA114" si="422">O110*$N$108</f>
        <v>30058.930000000008</v>
      </c>
      <c r="AB110" s="13">
        <f t="shared" ref="AB110:AB114" si="423">P110*$N$108</f>
        <v>32078.700000000008</v>
      </c>
      <c r="AC110" s="13">
        <f t="shared" ref="AC110:AC114" si="424">Q110*$N$108</f>
        <v>34217.280000000006</v>
      </c>
      <c r="AD110" s="13">
        <f t="shared" ref="AD110:AD114" si="425">R110*$N$108</f>
        <v>36237.050000000003</v>
      </c>
      <c r="AE110" s="13">
        <f t="shared" ref="AE110:AE114" si="426">S110*$N$108</f>
        <v>37781.58</v>
      </c>
      <c r="AF110" s="13">
        <f t="shared" ref="AF110:AF114" si="427">T110*$N$108</f>
        <v>39326.11</v>
      </c>
      <c r="AG110" s="13">
        <f t="shared" ref="AG110:AG114" si="428">U110*$N$108</f>
        <v>40870.639999999999</v>
      </c>
      <c r="AH110" s="13">
        <f t="shared" ref="AH110:AH114" si="429">V110*$N$108</f>
        <v>42415.170000000006</v>
      </c>
      <c r="AI110" s="13">
        <f t="shared" ref="AI110:AI114" si="430">W110*$N$108</f>
        <v>45028.990000000005</v>
      </c>
      <c r="AJ110" s="13">
        <f t="shared" ref="AJ110:AJ114" si="431">X110*$N$108</f>
        <v>49187.340000000004</v>
      </c>
      <c r="AK110" s="13">
        <f t="shared" ref="AK110:AK114" si="432">Y110*$N$108</f>
        <v>55840.700000000012</v>
      </c>
    </row>
    <row r="111" spans="1:37" x14ac:dyDescent="0.25">
      <c r="A111" s="1" t="s">
        <v>37</v>
      </c>
      <c r="B111" s="13">
        <v>13000</v>
      </c>
      <c r="C111" s="13">
        <v>13600</v>
      </c>
      <c r="D111" s="13">
        <v>14500</v>
      </c>
      <c r="E111" s="13">
        <v>15400</v>
      </c>
      <c r="F111" s="13">
        <v>16300</v>
      </c>
      <c r="G111" s="13">
        <v>17000</v>
      </c>
      <c r="H111" s="13">
        <v>17700</v>
      </c>
      <c r="I111" s="13">
        <v>18400</v>
      </c>
      <c r="J111" s="13">
        <v>19100</v>
      </c>
      <c r="K111" s="13">
        <v>20300</v>
      </c>
      <c r="L111" s="13">
        <v>22200</v>
      </c>
      <c r="M111" s="85">
        <v>25200</v>
      </c>
      <c r="N111" s="13">
        <f t="shared" ref="N111:N114" si="433">B111*$N$108</f>
        <v>14170.000000000002</v>
      </c>
      <c r="O111" s="13">
        <f t="shared" si="421"/>
        <v>14824.000000000002</v>
      </c>
      <c r="P111" s="13">
        <f t="shared" si="421"/>
        <v>15805.000000000002</v>
      </c>
      <c r="Q111" s="13">
        <f t="shared" si="421"/>
        <v>16786</v>
      </c>
      <c r="R111" s="13">
        <f t="shared" si="421"/>
        <v>17767</v>
      </c>
      <c r="S111" s="13">
        <f t="shared" si="421"/>
        <v>18530</v>
      </c>
      <c r="T111" s="13">
        <f t="shared" si="421"/>
        <v>19293</v>
      </c>
      <c r="U111" s="13">
        <f t="shared" si="421"/>
        <v>20056</v>
      </c>
      <c r="V111" s="13">
        <f t="shared" si="421"/>
        <v>20819</v>
      </c>
      <c r="W111" s="13">
        <f t="shared" si="421"/>
        <v>22127</v>
      </c>
      <c r="X111" s="13">
        <f t="shared" si="421"/>
        <v>24198</v>
      </c>
      <c r="Y111" s="85">
        <f t="shared" si="421"/>
        <v>27468.000000000004</v>
      </c>
      <c r="Z111" s="13">
        <f t="shared" ref="Z111:Z114" si="434">N111*$N$108</f>
        <v>15445.300000000003</v>
      </c>
      <c r="AA111" s="13">
        <f t="shared" si="422"/>
        <v>16158.160000000003</v>
      </c>
      <c r="AB111" s="13">
        <f t="shared" si="423"/>
        <v>17227.450000000004</v>
      </c>
      <c r="AC111" s="13">
        <f t="shared" si="424"/>
        <v>18296.740000000002</v>
      </c>
      <c r="AD111" s="13">
        <f t="shared" si="425"/>
        <v>19366.030000000002</v>
      </c>
      <c r="AE111" s="13">
        <f t="shared" si="426"/>
        <v>20197.7</v>
      </c>
      <c r="AF111" s="13">
        <f t="shared" si="427"/>
        <v>21029.370000000003</v>
      </c>
      <c r="AG111" s="13">
        <f t="shared" si="428"/>
        <v>21861.040000000001</v>
      </c>
      <c r="AH111" s="13">
        <f t="shared" si="429"/>
        <v>22692.710000000003</v>
      </c>
      <c r="AI111" s="13">
        <f t="shared" si="430"/>
        <v>24118.43</v>
      </c>
      <c r="AJ111" s="13">
        <f t="shared" si="431"/>
        <v>26375.820000000003</v>
      </c>
      <c r="AK111" s="13">
        <f t="shared" si="432"/>
        <v>29940.120000000006</v>
      </c>
    </row>
    <row r="112" spans="1:37" x14ac:dyDescent="0.25">
      <c r="A112" s="1" t="s">
        <v>38</v>
      </c>
      <c r="B112" s="13">
        <v>11000</v>
      </c>
      <c r="C112" s="13">
        <v>11600</v>
      </c>
      <c r="D112" s="13">
        <v>12300</v>
      </c>
      <c r="E112" s="13">
        <v>13000</v>
      </c>
      <c r="F112" s="13">
        <v>13700</v>
      </c>
      <c r="G112" s="13">
        <v>14300</v>
      </c>
      <c r="H112" s="13">
        <v>14900</v>
      </c>
      <c r="I112" s="13">
        <v>15500</v>
      </c>
      <c r="J112" s="13">
        <v>16100</v>
      </c>
      <c r="K112" s="13">
        <v>17100</v>
      </c>
      <c r="L112" s="13">
        <v>18700</v>
      </c>
      <c r="M112" s="85">
        <v>21200</v>
      </c>
      <c r="N112" s="13">
        <f t="shared" si="433"/>
        <v>11990</v>
      </c>
      <c r="O112" s="13">
        <f t="shared" si="421"/>
        <v>12644.000000000002</v>
      </c>
      <c r="P112" s="13">
        <f t="shared" si="421"/>
        <v>13407.000000000002</v>
      </c>
      <c r="Q112" s="13">
        <f t="shared" si="421"/>
        <v>14170.000000000002</v>
      </c>
      <c r="R112" s="13">
        <f t="shared" si="421"/>
        <v>14933.000000000002</v>
      </c>
      <c r="S112" s="13">
        <f t="shared" si="421"/>
        <v>15587.000000000002</v>
      </c>
      <c r="T112" s="13">
        <f t="shared" si="421"/>
        <v>16241.000000000002</v>
      </c>
      <c r="U112" s="13">
        <f t="shared" si="421"/>
        <v>16895</v>
      </c>
      <c r="V112" s="13">
        <f t="shared" si="421"/>
        <v>17549</v>
      </c>
      <c r="W112" s="13">
        <f t="shared" si="421"/>
        <v>18639</v>
      </c>
      <c r="X112" s="13">
        <f t="shared" si="421"/>
        <v>20383</v>
      </c>
      <c r="Y112" s="85">
        <f t="shared" si="421"/>
        <v>23108</v>
      </c>
      <c r="Z112" s="13">
        <f t="shared" si="434"/>
        <v>13069.1</v>
      </c>
      <c r="AA112" s="13">
        <f t="shared" si="422"/>
        <v>13781.960000000003</v>
      </c>
      <c r="AB112" s="13">
        <f t="shared" si="423"/>
        <v>14613.630000000003</v>
      </c>
      <c r="AC112" s="13">
        <f t="shared" si="424"/>
        <v>15445.300000000003</v>
      </c>
      <c r="AD112" s="13">
        <f t="shared" si="425"/>
        <v>16276.970000000003</v>
      </c>
      <c r="AE112" s="13">
        <f t="shared" si="426"/>
        <v>16989.830000000002</v>
      </c>
      <c r="AF112" s="13">
        <f t="shared" si="427"/>
        <v>17702.690000000002</v>
      </c>
      <c r="AG112" s="13">
        <f t="shared" si="428"/>
        <v>18415.550000000003</v>
      </c>
      <c r="AH112" s="13">
        <f t="shared" si="429"/>
        <v>19128.41</v>
      </c>
      <c r="AI112" s="13">
        <f t="shared" si="430"/>
        <v>20316.510000000002</v>
      </c>
      <c r="AJ112" s="13">
        <f t="shared" si="431"/>
        <v>22217.47</v>
      </c>
      <c r="AK112" s="13">
        <f t="shared" si="432"/>
        <v>25187.72</v>
      </c>
    </row>
    <row r="113" spans="1:37" x14ac:dyDescent="0.25">
      <c r="A113" s="1" t="s">
        <v>39</v>
      </c>
      <c r="B113" s="13">
        <v>19500</v>
      </c>
      <c r="C113" s="13">
        <v>20500</v>
      </c>
      <c r="D113" s="13">
        <v>22000</v>
      </c>
      <c r="E113" s="13">
        <v>23400</v>
      </c>
      <c r="F113" s="13">
        <v>24900</v>
      </c>
      <c r="G113" s="13">
        <v>26000</v>
      </c>
      <c r="H113" s="13">
        <v>27100</v>
      </c>
      <c r="I113" s="13">
        <v>28200</v>
      </c>
      <c r="J113" s="13">
        <v>29300</v>
      </c>
      <c r="K113" s="13">
        <v>31100</v>
      </c>
      <c r="L113" s="13">
        <v>34000</v>
      </c>
      <c r="M113" s="85">
        <v>38600</v>
      </c>
      <c r="N113" s="13">
        <f t="shared" si="433"/>
        <v>21255</v>
      </c>
      <c r="O113" s="13">
        <f t="shared" si="421"/>
        <v>22345</v>
      </c>
      <c r="P113" s="13">
        <f t="shared" si="421"/>
        <v>23980</v>
      </c>
      <c r="Q113" s="13">
        <f t="shared" si="421"/>
        <v>25506.000000000004</v>
      </c>
      <c r="R113" s="13">
        <f t="shared" si="421"/>
        <v>27141.000000000004</v>
      </c>
      <c r="S113" s="13">
        <f t="shared" si="421"/>
        <v>28340.000000000004</v>
      </c>
      <c r="T113" s="13">
        <f t="shared" si="421"/>
        <v>29539.000000000004</v>
      </c>
      <c r="U113" s="13">
        <f t="shared" si="421"/>
        <v>30738.000000000004</v>
      </c>
      <c r="V113" s="13">
        <f t="shared" si="421"/>
        <v>31937.000000000004</v>
      </c>
      <c r="W113" s="13">
        <f t="shared" si="421"/>
        <v>33899</v>
      </c>
      <c r="X113" s="13">
        <f t="shared" si="421"/>
        <v>37060</v>
      </c>
      <c r="Y113" s="85">
        <f t="shared" si="421"/>
        <v>42074</v>
      </c>
      <c r="Z113" s="13">
        <f t="shared" si="434"/>
        <v>23167.95</v>
      </c>
      <c r="AA113" s="13">
        <f t="shared" si="422"/>
        <v>24356.050000000003</v>
      </c>
      <c r="AB113" s="13">
        <f t="shared" si="423"/>
        <v>26138.2</v>
      </c>
      <c r="AC113" s="13">
        <f t="shared" si="424"/>
        <v>27801.540000000005</v>
      </c>
      <c r="AD113" s="13">
        <f t="shared" si="425"/>
        <v>29583.690000000006</v>
      </c>
      <c r="AE113" s="13">
        <f t="shared" si="426"/>
        <v>30890.600000000006</v>
      </c>
      <c r="AF113" s="13">
        <f t="shared" si="427"/>
        <v>32197.510000000006</v>
      </c>
      <c r="AG113" s="13">
        <f t="shared" si="428"/>
        <v>33504.420000000006</v>
      </c>
      <c r="AH113" s="13">
        <f t="shared" si="429"/>
        <v>34811.330000000009</v>
      </c>
      <c r="AI113" s="13">
        <f t="shared" si="430"/>
        <v>36949.910000000003</v>
      </c>
      <c r="AJ113" s="13">
        <f t="shared" si="431"/>
        <v>40395.4</v>
      </c>
      <c r="AK113" s="13">
        <f t="shared" si="432"/>
        <v>45860.66</v>
      </c>
    </row>
    <row r="114" spans="1:37" x14ac:dyDescent="0.25">
      <c r="A114" s="1" t="s">
        <v>40</v>
      </c>
      <c r="B114" s="13">
        <v>26000</v>
      </c>
      <c r="C114" s="13">
        <v>27600</v>
      </c>
      <c r="D114" s="13">
        <v>29600</v>
      </c>
      <c r="E114" s="13">
        <v>31600</v>
      </c>
      <c r="F114" s="13">
        <v>33600</v>
      </c>
      <c r="G114" s="13">
        <v>35000</v>
      </c>
      <c r="H114" s="13">
        <v>36400</v>
      </c>
      <c r="I114" s="13">
        <v>37800</v>
      </c>
      <c r="J114" s="13">
        <v>39200</v>
      </c>
      <c r="K114" s="13">
        <v>41500</v>
      </c>
      <c r="L114" s="13">
        <v>45200</v>
      </c>
      <c r="M114" s="85">
        <v>51600</v>
      </c>
      <c r="N114" s="13">
        <f t="shared" si="433"/>
        <v>28340.000000000004</v>
      </c>
      <c r="O114" s="13">
        <f t="shared" si="421"/>
        <v>30084.000000000004</v>
      </c>
      <c r="P114" s="13">
        <f t="shared" si="421"/>
        <v>32264.000000000004</v>
      </c>
      <c r="Q114" s="13">
        <f t="shared" si="421"/>
        <v>34444</v>
      </c>
      <c r="R114" s="13">
        <f t="shared" si="421"/>
        <v>36624</v>
      </c>
      <c r="S114" s="13">
        <f t="shared" si="421"/>
        <v>38150</v>
      </c>
      <c r="T114" s="13">
        <f t="shared" si="421"/>
        <v>39676</v>
      </c>
      <c r="U114" s="13">
        <f t="shared" si="421"/>
        <v>41202</v>
      </c>
      <c r="V114" s="13">
        <f t="shared" si="421"/>
        <v>42728</v>
      </c>
      <c r="W114" s="13">
        <f t="shared" si="421"/>
        <v>45235</v>
      </c>
      <c r="X114" s="13">
        <f t="shared" si="421"/>
        <v>49268</v>
      </c>
      <c r="Y114" s="85">
        <f t="shared" si="421"/>
        <v>56244.000000000007</v>
      </c>
      <c r="Z114" s="13">
        <f t="shared" si="434"/>
        <v>30890.600000000006</v>
      </c>
      <c r="AA114" s="13">
        <f t="shared" si="422"/>
        <v>32791.560000000005</v>
      </c>
      <c r="AB114" s="13">
        <f t="shared" si="423"/>
        <v>35167.760000000009</v>
      </c>
      <c r="AC114" s="13">
        <f t="shared" si="424"/>
        <v>37543.96</v>
      </c>
      <c r="AD114" s="13">
        <f t="shared" si="425"/>
        <v>39920.160000000003</v>
      </c>
      <c r="AE114" s="13">
        <f t="shared" si="426"/>
        <v>41583.5</v>
      </c>
      <c r="AF114" s="13">
        <f t="shared" si="427"/>
        <v>43246.840000000004</v>
      </c>
      <c r="AG114" s="13">
        <f t="shared" si="428"/>
        <v>44910.18</v>
      </c>
      <c r="AH114" s="13">
        <f t="shared" si="429"/>
        <v>46573.520000000004</v>
      </c>
      <c r="AI114" s="13">
        <f t="shared" si="430"/>
        <v>49306.15</v>
      </c>
      <c r="AJ114" s="13">
        <f t="shared" si="431"/>
        <v>53702.12</v>
      </c>
      <c r="AK114" s="13">
        <f t="shared" si="432"/>
        <v>61305.960000000014</v>
      </c>
    </row>
    <row r="115" spans="1:37" x14ac:dyDescent="0.25"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78"/>
      <c r="N115" s="95">
        <v>1.1000000000000001</v>
      </c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100">
        <f>Y116/M116</f>
        <v>1.1000000000000001</v>
      </c>
      <c r="Z115" s="95">
        <v>1.0900000000000001</v>
      </c>
      <c r="AA115" s="8"/>
      <c r="AB115" s="8"/>
      <c r="AC115" s="8"/>
      <c r="AD115" s="8"/>
      <c r="AE115" s="8"/>
      <c r="AF115" s="8"/>
      <c r="AG115" s="8"/>
      <c r="AH115" s="8"/>
      <c r="AI115" s="8"/>
      <c r="AJ115" s="8"/>
      <c r="AK115" s="78">
        <f>AK116/Y116</f>
        <v>1.1000000000000001</v>
      </c>
    </row>
    <row r="116" spans="1:37" x14ac:dyDescent="0.25">
      <c r="A116" s="92" t="s">
        <v>41</v>
      </c>
      <c r="B116" s="11">
        <f>SUM(B117:B121)</f>
        <v>71500</v>
      </c>
      <c r="C116" s="11">
        <f t="shared" ref="C116:M116" si="435">SUM(C117:C121)</f>
        <v>75400</v>
      </c>
      <c r="D116" s="11">
        <f t="shared" si="435"/>
        <v>80600</v>
      </c>
      <c r="E116" s="11">
        <f t="shared" si="435"/>
        <v>85800</v>
      </c>
      <c r="F116" s="11">
        <f t="shared" si="435"/>
        <v>91000</v>
      </c>
      <c r="G116" s="11">
        <f t="shared" si="435"/>
        <v>94900</v>
      </c>
      <c r="H116" s="11">
        <f t="shared" si="435"/>
        <v>98800</v>
      </c>
      <c r="I116" s="11">
        <f t="shared" si="435"/>
        <v>102700</v>
      </c>
      <c r="J116" s="11">
        <f t="shared" si="435"/>
        <v>106600</v>
      </c>
      <c r="K116" s="11">
        <f t="shared" si="435"/>
        <v>113100</v>
      </c>
      <c r="L116" s="11">
        <f t="shared" si="435"/>
        <v>123500</v>
      </c>
      <c r="M116" s="80">
        <f t="shared" si="435"/>
        <v>140400</v>
      </c>
      <c r="N116" s="11">
        <f>SUM(N117:N121)</f>
        <v>78650</v>
      </c>
      <c r="O116" s="11">
        <f t="shared" ref="O116:Y116" si="436">SUM(O117:O121)</f>
        <v>82940</v>
      </c>
      <c r="P116" s="11">
        <f t="shared" si="436"/>
        <v>88660</v>
      </c>
      <c r="Q116" s="11">
        <f t="shared" si="436"/>
        <v>94380</v>
      </c>
      <c r="R116" s="11">
        <f t="shared" si="436"/>
        <v>100100</v>
      </c>
      <c r="S116" s="11">
        <f t="shared" si="436"/>
        <v>104390</v>
      </c>
      <c r="T116" s="11">
        <f t="shared" si="436"/>
        <v>108680</v>
      </c>
      <c r="U116" s="11">
        <f t="shared" si="436"/>
        <v>112970</v>
      </c>
      <c r="V116" s="11">
        <f t="shared" si="436"/>
        <v>117260</v>
      </c>
      <c r="W116" s="11">
        <f t="shared" si="436"/>
        <v>124410.00000000001</v>
      </c>
      <c r="X116" s="11">
        <f t="shared" si="436"/>
        <v>135850</v>
      </c>
      <c r="Y116" s="80">
        <f t="shared" si="436"/>
        <v>154440</v>
      </c>
      <c r="Z116" s="11">
        <f>SUM(Z117:Z121)</f>
        <v>86416</v>
      </c>
      <c r="AA116" s="11">
        <f t="shared" ref="AA116:AK116" si="437">SUM(AA117:AA121)</f>
        <v>91234</v>
      </c>
      <c r="AB116" s="11">
        <f t="shared" si="437"/>
        <v>97526</v>
      </c>
      <c r="AC116" s="11">
        <f t="shared" si="437"/>
        <v>103818.00000000003</v>
      </c>
      <c r="AD116" s="11">
        <f t="shared" si="437"/>
        <v>110110.00000000003</v>
      </c>
      <c r="AE116" s="11">
        <f t="shared" si="437"/>
        <v>114829.00000000001</v>
      </c>
      <c r="AF116" s="11">
        <f t="shared" si="437"/>
        <v>119548.00000000003</v>
      </c>
      <c r="AG116" s="11">
        <f t="shared" si="437"/>
        <v>124267.00000000003</v>
      </c>
      <c r="AH116" s="11">
        <f t="shared" si="437"/>
        <v>128986.00000000003</v>
      </c>
      <c r="AI116" s="11">
        <f t="shared" si="437"/>
        <v>136851.00000000003</v>
      </c>
      <c r="AJ116" s="11">
        <f t="shared" si="437"/>
        <v>149435</v>
      </c>
      <c r="AK116" s="80">
        <f t="shared" si="437"/>
        <v>169884</v>
      </c>
    </row>
    <row r="117" spans="1:37" x14ac:dyDescent="0.25">
      <c r="A117" s="1" t="s">
        <v>42</v>
      </c>
      <c r="B117" s="13">
        <v>9000</v>
      </c>
      <c r="C117" s="13">
        <v>9500</v>
      </c>
      <c r="D117" s="13">
        <v>10200</v>
      </c>
      <c r="E117" s="13">
        <v>10900</v>
      </c>
      <c r="F117" s="13">
        <v>11500</v>
      </c>
      <c r="G117" s="13">
        <v>12000</v>
      </c>
      <c r="H117" s="13">
        <v>12500</v>
      </c>
      <c r="I117" s="13">
        <v>13000</v>
      </c>
      <c r="J117" s="13">
        <v>13500</v>
      </c>
      <c r="K117" s="13">
        <v>14300</v>
      </c>
      <c r="L117" s="13">
        <v>15600</v>
      </c>
      <c r="M117" s="85">
        <v>17700</v>
      </c>
      <c r="N117" s="13">
        <f>B117*$N$115</f>
        <v>9900</v>
      </c>
      <c r="O117" s="13">
        <f t="shared" ref="O117:Y121" si="438">C117*$N$115</f>
        <v>10450</v>
      </c>
      <c r="P117" s="13">
        <f t="shared" si="438"/>
        <v>11220</v>
      </c>
      <c r="Q117" s="13">
        <f t="shared" si="438"/>
        <v>11990.000000000002</v>
      </c>
      <c r="R117" s="13">
        <f t="shared" si="438"/>
        <v>12650.000000000002</v>
      </c>
      <c r="S117" s="13">
        <f t="shared" si="438"/>
        <v>13200.000000000002</v>
      </c>
      <c r="T117" s="13">
        <f t="shared" si="438"/>
        <v>13750.000000000002</v>
      </c>
      <c r="U117" s="13">
        <f t="shared" si="438"/>
        <v>14300.000000000002</v>
      </c>
      <c r="V117" s="13">
        <f t="shared" si="438"/>
        <v>14850.000000000002</v>
      </c>
      <c r="W117" s="13">
        <f t="shared" si="438"/>
        <v>15730.000000000002</v>
      </c>
      <c r="X117" s="13">
        <f t="shared" si="438"/>
        <v>17160</v>
      </c>
      <c r="Y117" s="85">
        <f t="shared" si="438"/>
        <v>19470</v>
      </c>
      <c r="Z117" s="13">
        <f>N117*$Z$115</f>
        <v>10791</v>
      </c>
      <c r="AA117" s="13">
        <f t="shared" ref="AA117:AA121" si="439">O117*$N$115</f>
        <v>11495.000000000002</v>
      </c>
      <c r="AB117" s="13">
        <f t="shared" ref="AB117:AB121" si="440">P117*$N$115</f>
        <v>12342.000000000002</v>
      </c>
      <c r="AC117" s="13">
        <f t="shared" ref="AC117:AC121" si="441">Q117*$N$115</f>
        <v>13189.000000000004</v>
      </c>
      <c r="AD117" s="13">
        <f t="shared" ref="AD117:AD121" si="442">R117*$N$115</f>
        <v>13915.000000000004</v>
      </c>
      <c r="AE117" s="13">
        <f t="shared" ref="AE117:AE121" si="443">S117*$N$115</f>
        <v>14520.000000000004</v>
      </c>
      <c r="AF117" s="13">
        <f t="shared" ref="AF117:AF121" si="444">T117*$N$115</f>
        <v>15125.000000000004</v>
      </c>
      <c r="AG117" s="13">
        <f t="shared" ref="AG117:AG121" si="445">U117*$N$115</f>
        <v>15730.000000000004</v>
      </c>
      <c r="AH117" s="13">
        <f t="shared" ref="AH117:AH121" si="446">V117*$N$115</f>
        <v>16335.000000000004</v>
      </c>
      <c r="AI117" s="13">
        <f t="shared" ref="AI117:AI121" si="447">W117*$N$115</f>
        <v>17303.000000000004</v>
      </c>
      <c r="AJ117" s="13">
        <f t="shared" ref="AJ117:AJ121" si="448">X117*$N$115</f>
        <v>18876</v>
      </c>
      <c r="AK117" s="13">
        <f t="shared" ref="AK117:AK121" si="449">Y117*$N$115</f>
        <v>21417</v>
      </c>
    </row>
    <row r="118" spans="1:37" x14ac:dyDescent="0.25">
      <c r="A118" s="1" t="s">
        <v>43</v>
      </c>
      <c r="B118" s="13">
        <v>8500</v>
      </c>
      <c r="C118" s="13">
        <v>9000</v>
      </c>
      <c r="D118" s="13">
        <v>9600</v>
      </c>
      <c r="E118" s="13">
        <v>10200</v>
      </c>
      <c r="F118" s="13">
        <v>10800</v>
      </c>
      <c r="G118" s="13">
        <v>11200</v>
      </c>
      <c r="H118" s="13">
        <v>11700</v>
      </c>
      <c r="I118" s="13">
        <v>12200</v>
      </c>
      <c r="J118" s="13">
        <v>12700</v>
      </c>
      <c r="K118" s="13">
        <v>13500</v>
      </c>
      <c r="L118" s="13">
        <v>14700</v>
      </c>
      <c r="M118" s="85">
        <v>16700</v>
      </c>
      <c r="N118" s="13">
        <f t="shared" ref="N118:N121" si="450">B118*$N$115</f>
        <v>9350</v>
      </c>
      <c r="O118" s="13">
        <f t="shared" si="438"/>
        <v>9900</v>
      </c>
      <c r="P118" s="13">
        <f t="shared" si="438"/>
        <v>10560</v>
      </c>
      <c r="Q118" s="13">
        <f t="shared" si="438"/>
        <v>11220</v>
      </c>
      <c r="R118" s="13">
        <f t="shared" si="438"/>
        <v>11880.000000000002</v>
      </c>
      <c r="S118" s="13">
        <f t="shared" si="438"/>
        <v>12320.000000000002</v>
      </c>
      <c r="T118" s="13">
        <f t="shared" si="438"/>
        <v>12870.000000000002</v>
      </c>
      <c r="U118" s="13">
        <f t="shared" si="438"/>
        <v>13420.000000000002</v>
      </c>
      <c r="V118" s="13">
        <f t="shared" si="438"/>
        <v>13970.000000000002</v>
      </c>
      <c r="W118" s="13">
        <f t="shared" si="438"/>
        <v>14850.000000000002</v>
      </c>
      <c r="X118" s="13">
        <f t="shared" si="438"/>
        <v>16170.000000000002</v>
      </c>
      <c r="Y118" s="85">
        <f t="shared" si="438"/>
        <v>18370</v>
      </c>
      <c r="Z118" s="13">
        <f t="shared" ref="Z118:Z121" si="451">N118*$N$115</f>
        <v>10285</v>
      </c>
      <c r="AA118" s="13">
        <f t="shared" si="439"/>
        <v>10890</v>
      </c>
      <c r="AB118" s="13">
        <f t="shared" si="440"/>
        <v>11616.000000000002</v>
      </c>
      <c r="AC118" s="13">
        <f t="shared" si="441"/>
        <v>12342.000000000002</v>
      </c>
      <c r="AD118" s="13">
        <f t="shared" si="442"/>
        <v>13068.000000000004</v>
      </c>
      <c r="AE118" s="13">
        <f t="shared" si="443"/>
        <v>13552.000000000004</v>
      </c>
      <c r="AF118" s="13">
        <f t="shared" si="444"/>
        <v>14157.000000000004</v>
      </c>
      <c r="AG118" s="13">
        <f t="shared" si="445"/>
        <v>14762.000000000004</v>
      </c>
      <c r="AH118" s="13">
        <f t="shared" si="446"/>
        <v>15367.000000000004</v>
      </c>
      <c r="AI118" s="13">
        <f t="shared" si="447"/>
        <v>16335.000000000004</v>
      </c>
      <c r="AJ118" s="13">
        <f t="shared" si="448"/>
        <v>17787.000000000004</v>
      </c>
      <c r="AK118" s="13">
        <f t="shared" si="449"/>
        <v>20207</v>
      </c>
    </row>
    <row r="119" spans="1:37" x14ac:dyDescent="0.25">
      <c r="A119" s="1" t="s">
        <v>44</v>
      </c>
      <c r="B119" s="13">
        <v>13500</v>
      </c>
      <c r="C119" s="13">
        <v>14300</v>
      </c>
      <c r="D119" s="13">
        <v>15300</v>
      </c>
      <c r="E119" s="13">
        <v>16300</v>
      </c>
      <c r="F119" s="13">
        <v>17300</v>
      </c>
      <c r="G119" s="13">
        <v>18000</v>
      </c>
      <c r="H119" s="13">
        <v>18700</v>
      </c>
      <c r="I119" s="13">
        <v>19400</v>
      </c>
      <c r="J119" s="13">
        <v>20100</v>
      </c>
      <c r="K119" s="13">
        <v>21300</v>
      </c>
      <c r="L119" s="13">
        <v>23200</v>
      </c>
      <c r="M119" s="85">
        <v>26400</v>
      </c>
      <c r="N119" s="13">
        <f t="shared" si="450"/>
        <v>14850.000000000002</v>
      </c>
      <c r="O119" s="13">
        <f t="shared" si="438"/>
        <v>15730.000000000002</v>
      </c>
      <c r="P119" s="13">
        <f t="shared" si="438"/>
        <v>16830</v>
      </c>
      <c r="Q119" s="13">
        <f t="shared" si="438"/>
        <v>17930</v>
      </c>
      <c r="R119" s="13">
        <f t="shared" si="438"/>
        <v>19030</v>
      </c>
      <c r="S119" s="13">
        <f t="shared" si="438"/>
        <v>19800</v>
      </c>
      <c r="T119" s="13">
        <f t="shared" si="438"/>
        <v>20570</v>
      </c>
      <c r="U119" s="13">
        <f t="shared" si="438"/>
        <v>21340</v>
      </c>
      <c r="V119" s="13">
        <f t="shared" si="438"/>
        <v>22110</v>
      </c>
      <c r="W119" s="13">
        <f t="shared" si="438"/>
        <v>23430.000000000004</v>
      </c>
      <c r="X119" s="13">
        <f t="shared" si="438"/>
        <v>25520.000000000004</v>
      </c>
      <c r="Y119" s="85">
        <f t="shared" si="438"/>
        <v>29040.000000000004</v>
      </c>
      <c r="Z119" s="13">
        <f t="shared" si="451"/>
        <v>16335.000000000004</v>
      </c>
      <c r="AA119" s="13">
        <f t="shared" si="439"/>
        <v>17303.000000000004</v>
      </c>
      <c r="AB119" s="13">
        <f t="shared" si="440"/>
        <v>18513</v>
      </c>
      <c r="AC119" s="13">
        <f t="shared" si="441"/>
        <v>19723</v>
      </c>
      <c r="AD119" s="13">
        <f t="shared" si="442"/>
        <v>20933</v>
      </c>
      <c r="AE119" s="13">
        <f t="shared" si="443"/>
        <v>21780</v>
      </c>
      <c r="AF119" s="13">
        <f t="shared" si="444"/>
        <v>22627.000000000004</v>
      </c>
      <c r="AG119" s="13">
        <f t="shared" si="445"/>
        <v>23474.000000000004</v>
      </c>
      <c r="AH119" s="13">
        <f t="shared" si="446"/>
        <v>24321.000000000004</v>
      </c>
      <c r="AI119" s="13">
        <f t="shared" si="447"/>
        <v>25773.000000000007</v>
      </c>
      <c r="AJ119" s="13">
        <f t="shared" si="448"/>
        <v>28072.000000000007</v>
      </c>
      <c r="AK119" s="13">
        <f t="shared" si="449"/>
        <v>31944.000000000007</v>
      </c>
    </row>
    <row r="120" spans="1:37" x14ac:dyDescent="0.25">
      <c r="A120" s="1" t="s">
        <v>45</v>
      </c>
      <c r="B120" s="13">
        <v>17500</v>
      </c>
      <c r="C120" s="13">
        <v>18400</v>
      </c>
      <c r="D120" s="13">
        <v>19700</v>
      </c>
      <c r="E120" s="13">
        <v>21000</v>
      </c>
      <c r="F120" s="13">
        <v>22300</v>
      </c>
      <c r="G120" s="13">
        <v>23200</v>
      </c>
      <c r="H120" s="13">
        <v>24100</v>
      </c>
      <c r="I120" s="13">
        <v>25000</v>
      </c>
      <c r="J120" s="13">
        <v>25900</v>
      </c>
      <c r="K120" s="13">
        <v>27500</v>
      </c>
      <c r="L120" s="13">
        <v>30000</v>
      </c>
      <c r="M120" s="85">
        <v>34100</v>
      </c>
      <c r="N120" s="13">
        <f t="shared" si="450"/>
        <v>19250</v>
      </c>
      <c r="O120" s="13">
        <f t="shared" si="438"/>
        <v>20240</v>
      </c>
      <c r="P120" s="13">
        <f t="shared" si="438"/>
        <v>21670</v>
      </c>
      <c r="Q120" s="13">
        <f t="shared" si="438"/>
        <v>23100.000000000004</v>
      </c>
      <c r="R120" s="13">
        <f t="shared" si="438"/>
        <v>24530.000000000004</v>
      </c>
      <c r="S120" s="13">
        <f t="shared" si="438"/>
        <v>25520.000000000004</v>
      </c>
      <c r="T120" s="13">
        <f t="shared" si="438"/>
        <v>26510.000000000004</v>
      </c>
      <c r="U120" s="13">
        <f t="shared" si="438"/>
        <v>27500.000000000004</v>
      </c>
      <c r="V120" s="13">
        <f t="shared" si="438"/>
        <v>28490.000000000004</v>
      </c>
      <c r="W120" s="13">
        <f t="shared" si="438"/>
        <v>30250.000000000004</v>
      </c>
      <c r="X120" s="13">
        <f t="shared" si="438"/>
        <v>33000</v>
      </c>
      <c r="Y120" s="85">
        <f t="shared" si="438"/>
        <v>37510</v>
      </c>
      <c r="Z120" s="13">
        <f t="shared" si="451"/>
        <v>21175</v>
      </c>
      <c r="AA120" s="13">
        <f t="shared" si="439"/>
        <v>22264</v>
      </c>
      <c r="AB120" s="13">
        <f t="shared" si="440"/>
        <v>23837.000000000004</v>
      </c>
      <c r="AC120" s="13">
        <f t="shared" si="441"/>
        <v>25410.000000000007</v>
      </c>
      <c r="AD120" s="13">
        <f t="shared" si="442"/>
        <v>26983.000000000007</v>
      </c>
      <c r="AE120" s="13">
        <f t="shared" si="443"/>
        <v>28072.000000000007</v>
      </c>
      <c r="AF120" s="13">
        <f t="shared" si="444"/>
        <v>29161.000000000007</v>
      </c>
      <c r="AG120" s="13">
        <f t="shared" si="445"/>
        <v>30250.000000000007</v>
      </c>
      <c r="AH120" s="13">
        <f t="shared" si="446"/>
        <v>31339.000000000007</v>
      </c>
      <c r="AI120" s="13">
        <f t="shared" si="447"/>
        <v>33275.000000000007</v>
      </c>
      <c r="AJ120" s="13">
        <f t="shared" si="448"/>
        <v>36300</v>
      </c>
      <c r="AK120" s="13">
        <f t="shared" si="449"/>
        <v>41261</v>
      </c>
    </row>
    <row r="121" spans="1:37" x14ac:dyDescent="0.25">
      <c r="A121" s="1" t="s">
        <v>46</v>
      </c>
      <c r="B121" s="13">
        <v>23000</v>
      </c>
      <c r="C121" s="13">
        <v>24200</v>
      </c>
      <c r="D121" s="13">
        <v>25800</v>
      </c>
      <c r="E121" s="13">
        <v>27400</v>
      </c>
      <c r="F121" s="13">
        <v>29100</v>
      </c>
      <c r="G121" s="13">
        <v>30500</v>
      </c>
      <c r="H121" s="13">
        <v>31800</v>
      </c>
      <c r="I121" s="13">
        <v>33100</v>
      </c>
      <c r="J121" s="13">
        <v>34400</v>
      </c>
      <c r="K121" s="13">
        <v>36500</v>
      </c>
      <c r="L121" s="13">
        <v>40000</v>
      </c>
      <c r="M121" s="85">
        <v>45500</v>
      </c>
      <c r="N121" s="13">
        <f t="shared" si="450"/>
        <v>25300.000000000004</v>
      </c>
      <c r="O121" s="13">
        <f t="shared" si="438"/>
        <v>26620.000000000004</v>
      </c>
      <c r="P121" s="13">
        <f t="shared" si="438"/>
        <v>28380.000000000004</v>
      </c>
      <c r="Q121" s="13">
        <f t="shared" si="438"/>
        <v>30140.000000000004</v>
      </c>
      <c r="R121" s="13">
        <f t="shared" si="438"/>
        <v>32010.000000000004</v>
      </c>
      <c r="S121" s="13">
        <f t="shared" si="438"/>
        <v>33550</v>
      </c>
      <c r="T121" s="13">
        <f t="shared" si="438"/>
        <v>34980</v>
      </c>
      <c r="U121" s="13">
        <f t="shared" si="438"/>
        <v>36410</v>
      </c>
      <c r="V121" s="13">
        <f t="shared" si="438"/>
        <v>37840</v>
      </c>
      <c r="W121" s="13">
        <f t="shared" si="438"/>
        <v>40150</v>
      </c>
      <c r="X121" s="13">
        <f t="shared" si="438"/>
        <v>44000</v>
      </c>
      <c r="Y121" s="85">
        <f t="shared" si="438"/>
        <v>50050.000000000007</v>
      </c>
      <c r="Z121" s="13">
        <f t="shared" si="451"/>
        <v>27830.000000000007</v>
      </c>
      <c r="AA121" s="13">
        <f t="shared" si="439"/>
        <v>29282.000000000007</v>
      </c>
      <c r="AB121" s="13">
        <f t="shared" si="440"/>
        <v>31218.000000000007</v>
      </c>
      <c r="AC121" s="13">
        <f t="shared" si="441"/>
        <v>33154.000000000007</v>
      </c>
      <c r="AD121" s="13">
        <f t="shared" si="442"/>
        <v>35211.000000000007</v>
      </c>
      <c r="AE121" s="13">
        <f t="shared" si="443"/>
        <v>36905</v>
      </c>
      <c r="AF121" s="13">
        <f t="shared" si="444"/>
        <v>38478</v>
      </c>
      <c r="AG121" s="13">
        <f t="shared" si="445"/>
        <v>40051</v>
      </c>
      <c r="AH121" s="13">
        <f t="shared" si="446"/>
        <v>41624</v>
      </c>
      <c r="AI121" s="13">
        <f t="shared" si="447"/>
        <v>44165</v>
      </c>
      <c r="AJ121" s="13">
        <f t="shared" si="448"/>
        <v>48400.000000000007</v>
      </c>
      <c r="AK121" s="13">
        <f t="shared" si="449"/>
        <v>55055.000000000015</v>
      </c>
    </row>
    <row r="122" spans="1:37" x14ac:dyDescent="0.25"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7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78"/>
      <c r="Z122" s="8"/>
      <c r="AA122" s="8"/>
      <c r="AB122" s="8"/>
      <c r="AC122" s="8"/>
      <c r="AD122" s="8"/>
      <c r="AE122" s="8"/>
      <c r="AF122" s="8"/>
      <c r="AG122" s="8"/>
      <c r="AH122" s="8"/>
      <c r="AI122" s="8"/>
      <c r="AJ122" s="8"/>
      <c r="AK122" s="78"/>
    </row>
    <row r="123" spans="1:37" x14ac:dyDescent="0.25"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7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78"/>
      <c r="Z123" s="8"/>
      <c r="AA123" s="8"/>
      <c r="AB123" s="8"/>
      <c r="AC123" s="8"/>
      <c r="AD123" s="8"/>
      <c r="AE123" s="8"/>
      <c r="AF123" s="8"/>
      <c r="AG123" s="8"/>
      <c r="AH123" s="8"/>
      <c r="AI123" s="8"/>
      <c r="AJ123" s="8"/>
      <c r="AK123" s="78"/>
    </row>
    <row r="124" spans="1:37" x14ac:dyDescent="0.25">
      <c r="A124" s="7" t="s">
        <v>47</v>
      </c>
      <c r="B124" s="10">
        <f>SUM(B126:B127)</f>
        <v>1500</v>
      </c>
      <c r="C124" s="10">
        <f t="shared" ref="C124:M124" si="452">SUM(C126:C127)</f>
        <v>1570</v>
      </c>
      <c r="D124" s="10">
        <f t="shared" si="452"/>
        <v>1650</v>
      </c>
      <c r="E124" s="10">
        <f t="shared" si="452"/>
        <v>1730</v>
      </c>
      <c r="F124" s="10">
        <f t="shared" si="452"/>
        <v>1800</v>
      </c>
      <c r="G124" s="10">
        <f t="shared" si="452"/>
        <v>1870</v>
      </c>
      <c r="H124" s="10">
        <f t="shared" si="452"/>
        <v>1950</v>
      </c>
      <c r="I124" s="10">
        <f t="shared" si="452"/>
        <v>2030</v>
      </c>
      <c r="J124" s="10">
        <f t="shared" si="452"/>
        <v>2100</v>
      </c>
      <c r="K124" s="10">
        <f t="shared" si="452"/>
        <v>2250</v>
      </c>
      <c r="L124" s="10">
        <f t="shared" si="452"/>
        <v>2400</v>
      </c>
      <c r="M124" s="79">
        <f t="shared" si="452"/>
        <v>2700</v>
      </c>
      <c r="N124" s="10">
        <f>SUM(N126:N127)</f>
        <v>1575</v>
      </c>
      <c r="O124" s="10">
        <f t="shared" ref="O124:Y124" si="453">SUM(O126:O127)</f>
        <v>1648.5</v>
      </c>
      <c r="P124" s="10">
        <f t="shared" si="453"/>
        <v>1732.5</v>
      </c>
      <c r="Q124" s="10">
        <f t="shared" si="453"/>
        <v>1816.5</v>
      </c>
      <c r="R124" s="10">
        <f t="shared" si="453"/>
        <v>1890</v>
      </c>
      <c r="S124" s="10">
        <f t="shared" si="453"/>
        <v>1963.5</v>
      </c>
      <c r="T124" s="10">
        <f t="shared" si="453"/>
        <v>2047.5</v>
      </c>
      <c r="U124" s="10">
        <f t="shared" si="453"/>
        <v>2131.5</v>
      </c>
      <c r="V124" s="10">
        <f t="shared" si="453"/>
        <v>2205</v>
      </c>
      <c r="W124" s="10">
        <f t="shared" si="453"/>
        <v>2362.5</v>
      </c>
      <c r="X124" s="10">
        <f t="shared" si="453"/>
        <v>2520</v>
      </c>
      <c r="Y124" s="79">
        <f t="shared" si="453"/>
        <v>2835</v>
      </c>
      <c r="Z124" s="10">
        <f>SUM(Z126:Z127)</f>
        <v>1653.75</v>
      </c>
      <c r="AA124" s="10">
        <f t="shared" ref="AA124:AK124" si="454">SUM(AA126:AA127)</f>
        <v>1730.9250000000002</v>
      </c>
      <c r="AB124" s="10">
        <f t="shared" si="454"/>
        <v>1819.125</v>
      </c>
      <c r="AC124" s="10">
        <f t="shared" si="454"/>
        <v>1907.325</v>
      </c>
      <c r="AD124" s="10">
        <f t="shared" si="454"/>
        <v>1984.5</v>
      </c>
      <c r="AE124" s="10">
        <f t="shared" si="454"/>
        <v>2061.6750000000002</v>
      </c>
      <c r="AF124" s="10">
        <f t="shared" si="454"/>
        <v>2149.875</v>
      </c>
      <c r="AG124" s="10">
        <f t="shared" si="454"/>
        <v>2238.0749999999998</v>
      </c>
      <c r="AH124" s="10">
        <f t="shared" si="454"/>
        <v>2315.25</v>
      </c>
      <c r="AI124" s="10">
        <f t="shared" si="454"/>
        <v>2480.625</v>
      </c>
      <c r="AJ124" s="10">
        <f t="shared" si="454"/>
        <v>2646</v>
      </c>
      <c r="AK124" s="79">
        <f t="shared" si="454"/>
        <v>2976.75</v>
      </c>
    </row>
    <row r="125" spans="1:37" x14ac:dyDescent="0.25"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78"/>
      <c r="N125" s="13">
        <v>1.05</v>
      </c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78"/>
      <c r="Z125" s="13">
        <v>1.05</v>
      </c>
      <c r="AA125" s="8"/>
      <c r="AB125" s="8"/>
      <c r="AC125" s="8"/>
      <c r="AD125" s="8"/>
      <c r="AE125" s="8"/>
      <c r="AF125" s="8"/>
      <c r="AG125" s="8"/>
      <c r="AH125" s="8"/>
      <c r="AI125" s="8"/>
      <c r="AJ125" s="8"/>
      <c r="AK125" s="78"/>
    </row>
    <row r="126" spans="1:37" x14ac:dyDescent="0.25">
      <c r="A126" s="1" t="s">
        <v>48</v>
      </c>
      <c r="B126" s="13">
        <v>900</v>
      </c>
      <c r="C126" s="13">
        <v>920</v>
      </c>
      <c r="D126" s="13">
        <v>950</v>
      </c>
      <c r="E126" s="13">
        <v>980</v>
      </c>
      <c r="F126" s="13">
        <v>1000</v>
      </c>
      <c r="G126" s="13">
        <v>1020</v>
      </c>
      <c r="H126" s="13">
        <v>1050</v>
      </c>
      <c r="I126" s="13">
        <v>1080</v>
      </c>
      <c r="J126" s="13">
        <v>1100</v>
      </c>
      <c r="K126" s="13">
        <v>1150</v>
      </c>
      <c r="L126" s="13">
        <v>1200</v>
      </c>
      <c r="M126" s="85">
        <v>1300</v>
      </c>
      <c r="N126" s="13">
        <v>945</v>
      </c>
      <c r="O126" s="13">
        <v>966</v>
      </c>
      <c r="P126" s="13">
        <v>997.5</v>
      </c>
      <c r="Q126" s="13">
        <v>1029</v>
      </c>
      <c r="R126" s="13">
        <v>1050</v>
      </c>
      <c r="S126" s="13">
        <v>1071</v>
      </c>
      <c r="T126" s="13">
        <v>1102.5</v>
      </c>
      <c r="U126" s="13">
        <v>1134</v>
      </c>
      <c r="V126" s="13">
        <v>1155</v>
      </c>
      <c r="W126" s="13">
        <v>1207.5</v>
      </c>
      <c r="X126" s="13">
        <v>1260</v>
      </c>
      <c r="Y126" s="13">
        <v>1365</v>
      </c>
      <c r="Z126" s="13">
        <v>992.25</v>
      </c>
      <c r="AA126" s="13">
        <v>1014.3000000000001</v>
      </c>
      <c r="AB126" s="13">
        <v>1047.375</v>
      </c>
      <c r="AC126" s="13">
        <v>1080.45</v>
      </c>
      <c r="AD126" s="13">
        <v>1102.5</v>
      </c>
      <c r="AE126" s="13">
        <v>1124.55</v>
      </c>
      <c r="AF126" s="13">
        <v>1157.625</v>
      </c>
      <c r="AG126" s="13">
        <v>1190.7</v>
      </c>
      <c r="AH126" s="13">
        <v>1212.75</v>
      </c>
      <c r="AI126" s="13">
        <v>1267.875</v>
      </c>
      <c r="AJ126" s="13">
        <v>1323</v>
      </c>
      <c r="AK126" s="13">
        <v>1433.25</v>
      </c>
    </row>
    <row r="127" spans="1:37" x14ac:dyDescent="0.25">
      <c r="A127" s="1" t="s">
        <v>49</v>
      </c>
      <c r="B127" s="13">
        <v>600</v>
      </c>
      <c r="C127" s="13">
        <v>650</v>
      </c>
      <c r="D127" s="13">
        <v>700</v>
      </c>
      <c r="E127" s="13">
        <v>750</v>
      </c>
      <c r="F127" s="13">
        <v>800</v>
      </c>
      <c r="G127" s="13">
        <v>850</v>
      </c>
      <c r="H127" s="13">
        <v>900</v>
      </c>
      <c r="I127" s="13">
        <v>950</v>
      </c>
      <c r="J127" s="13">
        <v>1000</v>
      </c>
      <c r="K127" s="13">
        <v>1100</v>
      </c>
      <c r="L127" s="13">
        <v>1200</v>
      </c>
      <c r="M127" s="85">
        <v>1400</v>
      </c>
      <c r="N127" s="13">
        <v>630</v>
      </c>
      <c r="O127" s="13">
        <v>682.5</v>
      </c>
      <c r="P127" s="13">
        <v>735</v>
      </c>
      <c r="Q127" s="13">
        <v>787.5</v>
      </c>
      <c r="R127" s="13">
        <v>840</v>
      </c>
      <c r="S127" s="13">
        <v>892.5</v>
      </c>
      <c r="T127" s="13">
        <v>945</v>
      </c>
      <c r="U127" s="13">
        <v>997.5</v>
      </c>
      <c r="V127" s="13">
        <v>1050</v>
      </c>
      <c r="W127" s="13">
        <v>1155</v>
      </c>
      <c r="X127" s="13">
        <v>1260</v>
      </c>
      <c r="Y127" s="13">
        <v>1470</v>
      </c>
      <c r="Z127" s="13">
        <v>661.5</v>
      </c>
      <c r="AA127" s="13">
        <v>716.625</v>
      </c>
      <c r="AB127" s="13">
        <v>771.75</v>
      </c>
      <c r="AC127" s="13">
        <v>826.875</v>
      </c>
      <c r="AD127" s="13">
        <v>882</v>
      </c>
      <c r="AE127" s="13">
        <v>937.125</v>
      </c>
      <c r="AF127" s="13">
        <v>992.25</v>
      </c>
      <c r="AG127" s="13">
        <v>1047.375</v>
      </c>
      <c r="AH127" s="13">
        <v>1102.5</v>
      </c>
      <c r="AI127" s="13">
        <v>1212.75</v>
      </c>
      <c r="AJ127" s="13">
        <v>1323</v>
      </c>
      <c r="AK127" s="13">
        <v>1543.5</v>
      </c>
    </row>
    <row r="128" spans="1:37" x14ac:dyDescent="0.25"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7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78"/>
      <c r="Z128" s="8"/>
      <c r="AA128" s="8"/>
      <c r="AB128" s="8"/>
      <c r="AC128" s="8"/>
      <c r="AD128" s="8"/>
      <c r="AE128" s="8"/>
      <c r="AF128" s="8"/>
      <c r="AG128" s="8"/>
      <c r="AH128" s="8"/>
      <c r="AI128" s="8"/>
      <c r="AJ128" s="8"/>
      <c r="AK128" s="78"/>
    </row>
    <row r="129" spans="1:39" x14ac:dyDescent="0.25"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7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78"/>
      <c r="Z129" s="8"/>
      <c r="AA129" s="8"/>
      <c r="AB129" s="8"/>
      <c r="AC129" s="8"/>
      <c r="AD129" s="8"/>
      <c r="AE129" s="8"/>
      <c r="AF129" s="8"/>
      <c r="AG129" s="8"/>
      <c r="AH129" s="8"/>
      <c r="AI129" s="8"/>
      <c r="AJ129" s="8"/>
      <c r="AK129" s="78"/>
    </row>
    <row r="130" spans="1:39" x14ac:dyDescent="0.25">
      <c r="A130" s="7" t="s">
        <v>50</v>
      </c>
      <c r="B130" s="10">
        <f t="shared" ref="B130:M130" si="455">B98-B107+B124</f>
        <v>97705.724999999977</v>
      </c>
      <c r="C130" s="10">
        <f t="shared" si="455"/>
        <v>107312.70000000001</v>
      </c>
      <c r="D130" s="10">
        <f t="shared" si="455"/>
        <v>119270.51000000001</v>
      </c>
      <c r="E130" s="10">
        <f t="shared" si="455"/>
        <v>136701.1508</v>
      </c>
      <c r="F130" s="10">
        <f t="shared" si="455"/>
        <v>150127.90000000002</v>
      </c>
      <c r="G130" s="10">
        <f t="shared" si="455"/>
        <v>161953.52500000002</v>
      </c>
      <c r="H130" s="10">
        <f t="shared" si="455"/>
        <v>174232.88</v>
      </c>
      <c r="I130" s="10">
        <f t="shared" si="455"/>
        <v>186955.37379999994</v>
      </c>
      <c r="J130" s="10">
        <f t="shared" si="455"/>
        <v>200112.75</v>
      </c>
      <c r="K130" s="10">
        <f t="shared" si="455"/>
        <v>218770.81499999994</v>
      </c>
      <c r="L130" s="10">
        <f t="shared" si="455"/>
        <v>245856.5</v>
      </c>
      <c r="M130" s="79">
        <f t="shared" si="455"/>
        <v>287457.35279999999</v>
      </c>
      <c r="N130" s="10">
        <f t="shared" ref="N130:Y130" si="456">N98-N107+N124</f>
        <v>111224.24025000003</v>
      </c>
      <c r="O130" s="10">
        <f t="shared" si="456"/>
        <v>121954.04299999995</v>
      </c>
      <c r="P130" s="10">
        <f t="shared" si="456"/>
        <v>135332.85590000002</v>
      </c>
      <c r="Q130" s="10">
        <f t="shared" si="456"/>
        <v>154677.05437199998</v>
      </c>
      <c r="R130" s="10">
        <f t="shared" si="456"/>
        <v>169657.41099999996</v>
      </c>
      <c r="S130" s="10">
        <f t="shared" si="456"/>
        <v>182805.54225</v>
      </c>
      <c r="T130" s="10">
        <f t="shared" si="456"/>
        <v>196447.83920000005</v>
      </c>
      <c r="U130" s="10">
        <f t="shared" si="456"/>
        <v>210573.15744200005</v>
      </c>
      <c r="V130" s="10">
        <f t="shared" si="456"/>
        <v>225172.89750000008</v>
      </c>
      <c r="W130" s="10">
        <f t="shared" si="456"/>
        <v>245939.18834999995</v>
      </c>
      <c r="X130" s="10">
        <f t="shared" si="456"/>
        <v>276152.58499999996</v>
      </c>
      <c r="Y130" s="79">
        <f t="shared" si="456"/>
        <v>322616.51455199998</v>
      </c>
      <c r="Z130" s="10">
        <f t="shared" ref="Z130:AK130" si="457">Z98-Z107+Z124</f>
        <v>126795.52187249996</v>
      </c>
      <c r="AA130" s="10">
        <f t="shared" si="457"/>
        <v>138414.56686999992</v>
      </c>
      <c r="AB130" s="10">
        <f t="shared" si="457"/>
        <v>153376.91293100003</v>
      </c>
      <c r="AC130" s="10">
        <f t="shared" si="457"/>
        <v>174841.52926548009</v>
      </c>
      <c r="AD130" s="10">
        <f t="shared" si="457"/>
        <v>191549.97799000013</v>
      </c>
      <c r="AE130" s="10">
        <f t="shared" si="457"/>
        <v>206165.60105250007</v>
      </c>
      <c r="AF130" s="10">
        <f t="shared" si="457"/>
        <v>221319.44472800009</v>
      </c>
      <c r="AG130" s="10">
        <f t="shared" si="457"/>
        <v>236999.78161178005</v>
      </c>
      <c r="AH130" s="10">
        <f t="shared" si="457"/>
        <v>253197.65827499994</v>
      </c>
      <c r="AI130" s="10">
        <f t="shared" si="457"/>
        <v>276305.1153014999</v>
      </c>
      <c r="AJ130" s="10">
        <f t="shared" si="457"/>
        <v>309997.01764999994</v>
      </c>
      <c r="AK130" s="79">
        <f t="shared" si="457"/>
        <v>361874.20086168009</v>
      </c>
      <c r="AL130" t="s">
        <v>102</v>
      </c>
      <c r="AM130" t="s">
        <v>103</v>
      </c>
    </row>
    <row r="131" spans="1:39" x14ac:dyDescent="0.25"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97">
        <f>M130/M5</f>
        <v>0.26616421555555553</v>
      </c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102">
        <f>Y130/Y5</f>
        <v>0.27156272268686865</v>
      </c>
      <c r="Z131" s="8"/>
      <c r="AA131" s="8"/>
      <c r="AB131" s="8"/>
      <c r="AC131" s="8"/>
      <c r="AD131" s="8"/>
      <c r="AE131" s="8"/>
      <c r="AF131" s="8"/>
      <c r="AG131" s="8"/>
      <c r="AH131" s="8"/>
      <c r="AI131" s="8"/>
      <c r="AJ131" s="8"/>
      <c r="AK131" s="102">
        <f>AK130/AK5</f>
        <v>0.27691628471202939</v>
      </c>
    </row>
    <row r="132" spans="1:39" x14ac:dyDescent="0.25"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97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102"/>
      <c r="Z132" s="8"/>
      <c r="AA132" s="8"/>
      <c r="AB132" s="8"/>
      <c r="AC132" s="8"/>
      <c r="AD132" s="8"/>
      <c r="AE132" s="8"/>
      <c r="AF132" s="8"/>
      <c r="AG132" s="8"/>
      <c r="AH132" s="8"/>
      <c r="AI132" s="8"/>
      <c r="AJ132" s="8"/>
      <c r="AK132" s="102"/>
    </row>
    <row r="133" spans="1:39" x14ac:dyDescent="0.25"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 t="s">
        <v>104</v>
      </c>
      <c r="M133" s="103">
        <f>SUM(B5:M5)</f>
        <v>9110000</v>
      </c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 t="s">
        <v>104</v>
      </c>
      <c r="Y133" s="103">
        <f>SUM(N5:Y5)</f>
        <v>10021000</v>
      </c>
      <c r="Z133" s="8"/>
      <c r="AA133" s="8"/>
      <c r="AB133" s="8"/>
      <c r="AC133" s="8"/>
      <c r="AD133" s="8"/>
      <c r="AE133" s="8"/>
      <c r="AF133" s="8"/>
      <c r="AG133" s="8"/>
      <c r="AH133" s="8"/>
      <c r="AI133" s="8"/>
      <c r="AJ133" s="8" t="s">
        <v>104</v>
      </c>
      <c r="AK133" s="103">
        <f>SUM(Z5:AK5)</f>
        <v>11023100</v>
      </c>
      <c r="AL133" s="107">
        <f>AK133/Y133</f>
        <v>1.1000000000000001</v>
      </c>
      <c r="AM133" s="107">
        <f>AK133/M133</f>
        <v>1.21</v>
      </c>
    </row>
    <row r="134" spans="1:39" x14ac:dyDescent="0.25"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 t="s">
        <v>105</v>
      </c>
      <c r="M134" s="103">
        <f>SUM(B48:M48)</f>
        <v>4314092.8176000006</v>
      </c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 t="s">
        <v>105</v>
      </c>
      <c r="Y134" s="103">
        <f>SUM(N48:Y48)</f>
        <v>4702361.1711840015</v>
      </c>
      <c r="Z134" s="8"/>
      <c r="AA134" s="8"/>
      <c r="AB134" s="8"/>
      <c r="AC134" s="8"/>
      <c r="AD134" s="8"/>
      <c r="AE134" s="8"/>
      <c r="AF134" s="8"/>
      <c r="AG134" s="8"/>
      <c r="AH134" s="8"/>
      <c r="AI134" s="8"/>
      <c r="AJ134" s="8" t="s">
        <v>105</v>
      </c>
      <c r="AK134" s="103">
        <f>SUM(Z48:AK48)</f>
        <v>5125573.67659056</v>
      </c>
      <c r="AL134" s="107">
        <f>AK134/Y134</f>
        <v>1.0899999999999996</v>
      </c>
      <c r="AM134" s="107">
        <f>AK134/M134</f>
        <v>1.1880999999999997</v>
      </c>
    </row>
    <row r="135" spans="1:39" x14ac:dyDescent="0.25">
      <c r="B135" s="8"/>
      <c r="C135" s="8"/>
      <c r="D135" s="8"/>
      <c r="E135" s="8"/>
      <c r="F135" s="8"/>
      <c r="G135" s="8"/>
      <c r="H135" s="8"/>
      <c r="I135" s="8"/>
      <c r="J135" s="8"/>
      <c r="K135" s="8" t="s">
        <v>106</v>
      </c>
      <c r="L135" s="8"/>
      <c r="M135" s="103">
        <f>AVERAGE(B143:M143)</f>
        <v>590933.33333333337</v>
      </c>
      <c r="N135" s="8"/>
      <c r="O135" s="8"/>
      <c r="P135" s="8"/>
      <c r="Q135" s="8"/>
      <c r="R135" s="8"/>
      <c r="S135" s="8"/>
      <c r="T135" s="8"/>
      <c r="U135" s="8"/>
      <c r="V135" s="8"/>
      <c r="W135" s="8" t="s">
        <v>106</v>
      </c>
      <c r="X135" s="8"/>
      <c r="Y135" s="103">
        <f>AVERAGE(N143:Y143)</f>
        <v>602752</v>
      </c>
      <c r="Z135" s="8"/>
      <c r="AA135" s="8"/>
      <c r="AB135" s="8"/>
      <c r="AC135" s="8"/>
      <c r="AD135" s="8"/>
      <c r="AE135" s="8"/>
      <c r="AF135" s="8"/>
      <c r="AG135" s="8"/>
      <c r="AH135" s="8"/>
      <c r="AI135" s="8" t="s">
        <v>106</v>
      </c>
      <c r="AJ135" s="8"/>
      <c r="AK135" s="103">
        <f>AVERAGE(Z143:AK143)</f>
        <v>620834.55999999994</v>
      </c>
      <c r="AL135" s="107">
        <f>AK135/Y135</f>
        <v>1.0299999999999998</v>
      </c>
      <c r="AM135" s="107">
        <f>AK135/M135</f>
        <v>1.0505999999999998</v>
      </c>
    </row>
    <row r="136" spans="1:39" x14ac:dyDescent="0.25">
      <c r="B136" s="8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97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102"/>
      <c r="Z136" s="8"/>
      <c r="AA136" s="8"/>
      <c r="AB136" s="8"/>
      <c r="AC136" s="8"/>
      <c r="AD136" s="8"/>
      <c r="AE136" s="8"/>
      <c r="AF136" s="8"/>
      <c r="AG136" s="8"/>
      <c r="AH136" s="8"/>
      <c r="AI136" s="8"/>
      <c r="AJ136" s="8"/>
      <c r="AK136" s="102"/>
    </row>
    <row r="137" spans="1:39" x14ac:dyDescent="0.25">
      <c r="B137" s="8"/>
      <c r="C137" s="8"/>
      <c r="D137" s="8"/>
      <c r="E137" s="8"/>
      <c r="F137" s="8"/>
      <c r="G137" s="8"/>
      <c r="H137" s="8"/>
      <c r="I137" s="8"/>
      <c r="J137" s="8" t="s">
        <v>107</v>
      </c>
      <c r="L137" s="8"/>
      <c r="M137" s="104">
        <f>M133/M135</f>
        <v>15.416290613718411</v>
      </c>
      <c r="N137" s="8"/>
      <c r="O137" s="8"/>
      <c r="P137" s="8"/>
      <c r="Q137" s="8"/>
      <c r="R137" s="8"/>
      <c r="S137" s="8"/>
      <c r="T137" s="8"/>
      <c r="U137" s="8"/>
      <c r="V137" s="8" t="s">
        <v>107</v>
      </c>
      <c r="W137" s="8"/>
      <c r="X137" s="8"/>
      <c r="Y137" s="104">
        <f>Y133/Y135</f>
        <v>16.625411446166915</v>
      </c>
      <c r="Z137" s="8"/>
      <c r="AA137" s="8"/>
      <c r="AB137" s="8"/>
      <c r="AC137" s="8"/>
      <c r="AD137" s="8"/>
      <c r="AE137" s="8"/>
      <c r="AF137" s="8"/>
      <c r="AG137" s="8"/>
      <c r="AH137" s="8" t="s">
        <v>107</v>
      </c>
      <c r="AI137" s="8"/>
      <c r="AJ137" s="8"/>
      <c r="AK137" s="104">
        <f>AK133/AK135</f>
        <v>17.755293777459812</v>
      </c>
    </row>
    <row r="138" spans="1:39" x14ac:dyDescent="0.25">
      <c r="B138" s="8"/>
      <c r="C138" s="8"/>
      <c r="D138" s="8"/>
      <c r="E138" s="8"/>
      <c r="F138" s="8"/>
      <c r="G138" s="8"/>
      <c r="H138" s="8"/>
      <c r="I138" s="8"/>
      <c r="J138" s="8" t="s">
        <v>108</v>
      </c>
      <c r="K138" s="8"/>
      <c r="L138" s="8"/>
      <c r="M138" s="109">
        <f>M134/M135</f>
        <v>7.3004729539711199</v>
      </c>
      <c r="N138" s="8"/>
      <c r="O138" s="8"/>
      <c r="P138" s="8"/>
      <c r="Q138" s="8"/>
      <c r="R138" s="8"/>
      <c r="S138" s="8"/>
      <c r="T138" s="8"/>
      <c r="U138" s="8"/>
      <c r="V138" s="8" t="s">
        <v>108</v>
      </c>
      <c r="W138" s="8"/>
      <c r="X138" s="8"/>
      <c r="Y138" s="109">
        <f>Y134/Y135</f>
        <v>7.8014858037534536</v>
      </c>
      <c r="Z138" s="8"/>
      <c r="AA138" s="8"/>
      <c r="AB138" s="8"/>
      <c r="AC138" s="8"/>
      <c r="AD138" s="8"/>
      <c r="AE138" s="8"/>
      <c r="AF138" s="8"/>
      <c r="AG138" s="8"/>
      <c r="AH138" s="8" t="s">
        <v>108</v>
      </c>
      <c r="AI138" s="8"/>
      <c r="AJ138" s="8"/>
      <c r="AK138" s="109">
        <f>AK134/AK135</f>
        <v>8.2559412874672446</v>
      </c>
      <c r="AM138" s="107">
        <f>AK138/M138</f>
        <v>1.130877593755949</v>
      </c>
    </row>
    <row r="139" spans="1:39" x14ac:dyDescent="0.25">
      <c r="B139" s="8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97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102"/>
      <c r="Z139" s="8"/>
      <c r="AA139" s="8"/>
      <c r="AB139" s="8"/>
      <c r="AC139" s="8"/>
      <c r="AD139" s="8"/>
      <c r="AE139" s="8"/>
      <c r="AF139" s="8"/>
      <c r="AG139" s="8"/>
      <c r="AH139" s="8"/>
      <c r="AI139" s="8"/>
      <c r="AJ139" s="8"/>
      <c r="AK139" s="102"/>
      <c r="AM139" s="107"/>
    </row>
    <row r="140" spans="1:39" x14ac:dyDescent="0.25">
      <c r="B140" s="8"/>
      <c r="C140" s="8"/>
      <c r="D140" s="8"/>
      <c r="E140" s="8"/>
      <c r="F140" s="8"/>
      <c r="G140" s="8"/>
      <c r="H140" s="8"/>
      <c r="I140" s="8"/>
      <c r="J140" s="8"/>
      <c r="K140" s="8"/>
      <c r="L140" s="8" t="s">
        <v>109</v>
      </c>
      <c r="M140" s="103">
        <f>SUM(B130:M130)</f>
        <v>2086457.1823999998</v>
      </c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 t="s">
        <v>109</v>
      </c>
      <c r="Y140" s="103">
        <f>SUM(N130:Y130)</f>
        <v>2352553.3288159999</v>
      </c>
      <c r="Z140" s="8"/>
      <c r="AA140" s="8"/>
      <c r="AB140" s="8"/>
      <c r="AC140" s="8"/>
      <c r="AD140" s="8"/>
      <c r="AE140" s="8"/>
      <c r="AF140" s="8"/>
      <c r="AG140" s="8"/>
      <c r="AH140" s="8"/>
      <c r="AI140" s="8"/>
      <c r="AJ140" s="8" t="s">
        <v>109</v>
      </c>
      <c r="AK140" s="103">
        <f>SUM(Z130:AK130)</f>
        <v>2650837.3284094399</v>
      </c>
      <c r="AL140" s="107">
        <f>AK140/Y140</f>
        <v>1.1267915995526279</v>
      </c>
      <c r="AM140" s="107">
        <f>AK140/M140</f>
        <v>1.2704968742086753</v>
      </c>
    </row>
    <row r="141" spans="1:39" x14ac:dyDescent="0.25">
      <c r="B141" s="8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97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102"/>
      <c r="Z141" s="8"/>
      <c r="AA141" s="8"/>
      <c r="AB141" s="8"/>
      <c r="AC141" s="8"/>
      <c r="AD141" s="8"/>
      <c r="AE141" s="8"/>
      <c r="AF141" s="8"/>
      <c r="AG141" s="8"/>
      <c r="AH141" s="8"/>
      <c r="AI141" s="8"/>
      <c r="AJ141" s="8"/>
      <c r="AK141" s="102"/>
      <c r="AM141" s="107"/>
    </row>
    <row r="142" spans="1:39" x14ac:dyDescent="0.25">
      <c r="B142" s="8"/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7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102">
        <f>(Y130-M130)/M130</f>
        <v>0.12231087989063255</v>
      </c>
      <c r="Z142" s="8"/>
      <c r="AA142" s="8"/>
      <c r="AB142" s="8"/>
      <c r="AC142" s="8"/>
      <c r="AD142" s="8"/>
      <c r="AE142" s="8"/>
      <c r="AF142" s="8"/>
      <c r="AG142" s="8"/>
      <c r="AH142" s="8"/>
      <c r="AI142" s="8"/>
      <c r="AJ142" s="8"/>
      <c r="AK142" s="102">
        <f>(AK130-Y130)/Y130</f>
        <v>0.12168529674990483</v>
      </c>
    </row>
    <row r="143" spans="1:39" x14ac:dyDescent="0.25">
      <c r="A143" s="7" t="s">
        <v>51</v>
      </c>
      <c r="B143" s="10">
        <f t="shared" ref="B143:M143" si="458">B145+B148+B151+B154+B157</f>
        <v>433200</v>
      </c>
      <c r="C143" s="10">
        <f t="shared" si="458"/>
        <v>456400</v>
      </c>
      <c r="D143" s="10">
        <f t="shared" si="458"/>
        <v>487200</v>
      </c>
      <c r="E143" s="10">
        <f t="shared" si="458"/>
        <v>510200</v>
      </c>
      <c r="F143" s="10">
        <f t="shared" si="458"/>
        <v>539800</v>
      </c>
      <c r="G143" s="10">
        <f t="shared" si="458"/>
        <v>561500</v>
      </c>
      <c r="H143" s="10">
        <f t="shared" si="458"/>
        <v>582700</v>
      </c>
      <c r="I143" s="10">
        <f t="shared" si="458"/>
        <v>603600</v>
      </c>
      <c r="J143" s="10">
        <f t="shared" si="458"/>
        <v>624100</v>
      </c>
      <c r="K143" s="10">
        <f t="shared" si="458"/>
        <v>659400</v>
      </c>
      <c r="L143" s="10">
        <f t="shared" si="458"/>
        <v>737700</v>
      </c>
      <c r="M143" s="79">
        <f t="shared" si="458"/>
        <v>895400</v>
      </c>
      <c r="N143" s="10">
        <f t="shared" ref="N143:Y143" si="459">N145+N148+N151+N154+N157</f>
        <v>441864</v>
      </c>
      <c r="O143" s="10">
        <f t="shared" si="459"/>
        <v>465528.00000000006</v>
      </c>
      <c r="P143" s="10">
        <f t="shared" si="459"/>
        <v>496944</v>
      </c>
      <c r="Q143" s="10">
        <f t="shared" si="459"/>
        <v>520404</v>
      </c>
      <c r="R143" s="10">
        <f t="shared" si="459"/>
        <v>550596</v>
      </c>
      <c r="S143" s="10">
        <f t="shared" si="459"/>
        <v>572730</v>
      </c>
      <c r="T143" s="10">
        <f t="shared" si="459"/>
        <v>594354</v>
      </c>
      <c r="U143" s="10">
        <f t="shared" si="459"/>
        <v>615672</v>
      </c>
      <c r="V143" s="10">
        <f t="shared" si="459"/>
        <v>636582</v>
      </c>
      <c r="W143" s="10">
        <f t="shared" si="459"/>
        <v>672588</v>
      </c>
      <c r="X143" s="10">
        <f t="shared" si="459"/>
        <v>752454</v>
      </c>
      <c r="Y143" s="79">
        <f t="shared" si="459"/>
        <v>913308</v>
      </c>
      <c r="Z143" s="10">
        <f t="shared" ref="Z143:AK143" si="460">Z145+Z148+Z151+Z154+Z157</f>
        <v>455119.92</v>
      </c>
      <c r="AA143" s="10">
        <f t="shared" si="460"/>
        <v>479493.84000000008</v>
      </c>
      <c r="AB143" s="10">
        <f t="shared" si="460"/>
        <v>511852.32</v>
      </c>
      <c r="AC143" s="10">
        <f t="shared" si="460"/>
        <v>536016.12000000011</v>
      </c>
      <c r="AD143" s="10">
        <f t="shared" si="460"/>
        <v>567113.88000000012</v>
      </c>
      <c r="AE143" s="10">
        <f t="shared" si="460"/>
        <v>589911.9</v>
      </c>
      <c r="AF143" s="10">
        <f t="shared" si="460"/>
        <v>612184.62</v>
      </c>
      <c r="AG143" s="10">
        <f t="shared" si="460"/>
        <v>634142.16</v>
      </c>
      <c r="AH143" s="10">
        <f t="shared" si="460"/>
        <v>655679.46000000008</v>
      </c>
      <c r="AI143" s="10">
        <f t="shared" si="460"/>
        <v>692765.64</v>
      </c>
      <c r="AJ143" s="10">
        <f t="shared" si="460"/>
        <v>775027.62000000011</v>
      </c>
      <c r="AK143" s="79">
        <f t="shared" si="460"/>
        <v>940707.24000000011</v>
      </c>
    </row>
    <row r="144" spans="1:39" x14ac:dyDescent="0.25">
      <c r="B144" s="8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78"/>
      <c r="N144" s="110">
        <v>1.02</v>
      </c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100">
        <f>Y143/M143</f>
        <v>1.02</v>
      </c>
      <c r="Z144" s="110">
        <v>1.03</v>
      </c>
      <c r="AA144" s="8"/>
      <c r="AB144" s="8"/>
      <c r="AC144" s="8"/>
      <c r="AD144" s="8"/>
      <c r="AE144" s="8"/>
      <c r="AF144" s="8"/>
      <c r="AG144" s="8"/>
      <c r="AH144" s="8"/>
      <c r="AI144" s="8"/>
      <c r="AJ144" s="8"/>
      <c r="AK144" s="78">
        <f>AK143/Y143</f>
        <v>1.03</v>
      </c>
    </row>
    <row r="145" spans="1:37" x14ac:dyDescent="0.25">
      <c r="A145" s="41" t="s">
        <v>130</v>
      </c>
      <c r="B145" s="36">
        <f>SUM(B146:B147)</f>
        <v>108300</v>
      </c>
      <c r="C145" s="36">
        <f>SUM(C146:C147)</f>
        <v>114100</v>
      </c>
      <c r="D145" s="36">
        <f>SUM(D146:D147)</f>
        <v>121800</v>
      </c>
      <c r="E145" s="36">
        <f>SUM(E146,E147)</f>
        <v>127550</v>
      </c>
      <c r="F145" s="36">
        <f t="shared" ref="F145:M145" si="461">SUM(F146:F147)</f>
        <v>134950</v>
      </c>
      <c r="G145" s="36">
        <f t="shared" si="461"/>
        <v>140375</v>
      </c>
      <c r="H145" s="36">
        <f t="shared" si="461"/>
        <v>145675</v>
      </c>
      <c r="I145" s="36">
        <f t="shared" si="461"/>
        <v>150900</v>
      </c>
      <c r="J145" s="36">
        <f t="shared" si="461"/>
        <v>156025</v>
      </c>
      <c r="K145" s="36">
        <f t="shared" si="461"/>
        <v>164850</v>
      </c>
      <c r="L145" s="36">
        <f t="shared" si="461"/>
        <v>184425</v>
      </c>
      <c r="M145" s="86">
        <f t="shared" si="461"/>
        <v>223850</v>
      </c>
      <c r="N145" s="36">
        <f>SUM(N146:N147)</f>
        <v>110466</v>
      </c>
      <c r="O145" s="36">
        <f>SUM(O146:O147)</f>
        <v>116382</v>
      </c>
      <c r="P145" s="36">
        <f>SUM(P146:P147)</f>
        <v>124236</v>
      </c>
      <c r="Q145" s="36">
        <f>SUM(Q146,Q147)</f>
        <v>130101</v>
      </c>
      <c r="R145" s="36">
        <f t="shared" ref="R145:Y145" si="462">SUM(R146:R147)</f>
        <v>137649</v>
      </c>
      <c r="S145" s="36">
        <f t="shared" si="462"/>
        <v>143182.5</v>
      </c>
      <c r="T145" s="36">
        <f t="shared" si="462"/>
        <v>148588.5</v>
      </c>
      <c r="U145" s="36">
        <f t="shared" si="462"/>
        <v>153918</v>
      </c>
      <c r="V145" s="36">
        <f t="shared" si="462"/>
        <v>159145.5</v>
      </c>
      <c r="W145" s="36">
        <f t="shared" si="462"/>
        <v>168147</v>
      </c>
      <c r="X145" s="36">
        <f t="shared" si="462"/>
        <v>188113.5</v>
      </c>
      <c r="Y145" s="86">
        <f t="shared" si="462"/>
        <v>228327</v>
      </c>
      <c r="Z145" s="36">
        <f>SUM(Z146:Z147)</f>
        <v>113779.98000000001</v>
      </c>
      <c r="AA145" s="36">
        <f>SUM(AA146:AA147)</f>
        <v>119873.46</v>
      </c>
      <c r="AB145" s="36">
        <f>SUM(AB146:AB147)</f>
        <v>127963.08000000002</v>
      </c>
      <c r="AC145" s="36">
        <f>SUM(AC146,AC147)</f>
        <v>134004.03</v>
      </c>
      <c r="AD145" s="36">
        <f t="shared" ref="AD145:AK145" si="463">SUM(AD146:AD147)</f>
        <v>141778.47</v>
      </c>
      <c r="AE145" s="36">
        <f t="shared" si="463"/>
        <v>147477.97500000001</v>
      </c>
      <c r="AF145" s="36">
        <f t="shared" si="463"/>
        <v>153046.15500000003</v>
      </c>
      <c r="AG145" s="36">
        <f t="shared" si="463"/>
        <v>158535.54</v>
      </c>
      <c r="AH145" s="36">
        <f t="shared" si="463"/>
        <v>163919.86500000002</v>
      </c>
      <c r="AI145" s="36">
        <f t="shared" si="463"/>
        <v>173191.41</v>
      </c>
      <c r="AJ145" s="36">
        <f t="shared" si="463"/>
        <v>193756.90500000003</v>
      </c>
      <c r="AK145" s="86">
        <f t="shared" si="463"/>
        <v>235176.81</v>
      </c>
    </row>
    <row r="146" spans="1:37" x14ac:dyDescent="0.25">
      <c r="A146" s="4" t="s">
        <v>145</v>
      </c>
      <c r="B146" s="13">
        <v>64980</v>
      </c>
      <c r="C146" s="13">
        <v>68460</v>
      </c>
      <c r="D146" s="13">
        <v>73080</v>
      </c>
      <c r="E146" s="13">
        <v>76530</v>
      </c>
      <c r="F146" s="13">
        <v>80970</v>
      </c>
      <c r="G146" s="13">
        <v>84225</v>
      </c>
      <c r="H146" s="13">
        <v>87405</v>
      </c>
      <c r="I146" s="13">
        <v>90540</v>
      </c>
      <c r="J146" s="13">
        <v>93615</v>
      </c>
      <c r="K146" s="13">
        <v>98910</v>
      </c>
      <c r="L146" s="13">
        <v>110655</v>
      </c>
      <c r="M146" s="85">
        <v>134310</v>
      </c>
      <c r="N146" s="13">
        <f>B146*$N$144</f>
        <v>66279.600000000006</v>
      </c>
      <c r="O146" s="13">
        <f>C146*$N$144</f>
        <v>69829.2</v>
      </c>
      <c r="P146" s="13">
        <f t="shared" ref="O146:Y147" si="464">D146*$N$144</f>
        <v>74541.600000000006</v>
      </c>
      <c r="Q146" s="13">
        <f t="shared" si="464"/>
        <v>78060.600000000006</v>
      </c>
      <c r="R146" s="13">
        <f t="shared" si="464"/>
        <v>82589.399999999994</v>
      </c>
      <c r="S146" s="13">
        <f t="shared" si="464"/>
        <v>85909.5</v>
      </c>
      <c r="T146" s="13">
        <f t="shared" si="464"/>
        <v>89153.1</v>
      </c>
      <c r="U146" s="13">
        <f t="shared" si="464"/>
        <v>92350.8</v>
      </c>
      <c r="V146" s="13">
        <f t="shared" si="464"/>
        <v>95487.3</v>
      </c>
      <c r="W146" s="13">
        <f t="shared" si="464"/>
        <v>100888.2</v>
      </c>
      <c r="X146" s="13">
        <f t="shared" si="464"/>
        <v>112868.1</v>
      </c>
      <c r="Y146" s="85">
        <f t="shared" si="464"/>
        <v>136996.20000000001</v>
      </c>
      <c r="Z146" s="13">
        <f>N146*$Z$144</f>
        <v>68267.988000000012</v>
      </c>
      <c r="AA146" s="13">
        <f t="shared" ref="AA146:AK147" si="465">O146*$Z$144</f>
        <v>71924.076000000001</v>
      </c>
      <c r="AB146" s="13">
        <f t="shared" si="465"/>
        <v>76777.848000000013</v>
      </c>
      <c r="AC146" s="13">
        <f t="shared" si="465"/>
        <v>80402.418000000005</v>
      </c>
      <c r="AD146" s="13">
        <f t="shared" si="465"/>
        <v>85067.081999999995</v>
      </c>
      <c r="AE146" s="13">
        <f t="shared" si="465"/>
        <v>88486.785000000003</v>
      </c>
      <c r="AF146" s="13">
        <f t="shared" si="465"/>
        <v>91827.693000000014</v>
      </c>
      <c r="AG146" s="13">
        <f t="shared" si="465"/>
        <v>95121.324000000008</v>
      </c>
      <c r="AH146" s="13">
        <f t="shared" si="465"/>
        <v>98351.919000000009</v>
      </c>
      <c r="AI146" s="13">
        <f t="shared" si="465"/>
        <v>103914.84600000001</v>
      </c>
      <c r="AJ146" s="13">
        <f t="shared" si="465"/>
        <v>116254.14300000001</v>
      </c>
      <c r="AK146" s="13">
        <f t="shared" si="465"/>
        <v>141106.08600000001</v>
      </c>
    </row>
    <row r="147" spans="1:37" x14ac:dyDescent="0.25">
      <c r="A147" s="4" t="s">
        <v>146</v>
      </c>
      <c r="B147" s="13">
        <v>43320</v>
      </c>
      <c r="C147" s="13">
        <v>45640</v>
      </c>
      <c r="D147" s="13">
        <v>48720</v>
      </c>
      <c r="E147" s="13">
        <v>51020</v>
      </c>
      <c r="F147" s="13">
        <v>53980</v>
      </c>
      <c r="G147" s="13">
        <v>56150</v>
      </c>
      <c r="H147" s="13">
        <v>58270</v>
      </c>
      <c r="I147" s="13">
        <v>60360</v>
      </c>
      <c r="J147" s="13">
        <v>62410</v>
      </c>
      <c r="K147" s="13">
        <v>65940</v>
      </c>
      <c r="L147" s="13">
        <v>73770</v>
      </c>
      <c r="M147" s="85">
        <v>89540</v>
      </c>
      <c r="N147" s="13">
        <f>B147*$N$144</f>
        <v>44186.400000000001</v>
      </c>
      <c r="O147" s="13">
        <f t="shared" si="464"/>
        <v>46552.800000000003</v>
      </c>
      <c r="P147" s="13">
        <f t="shared" si="464"/>
        <v>49694.400000000001</v>
      </c>
      <c r="Q147" s="13">
        <f t="shared" si="464"/>
        <v>52040.4</v>
      </c>
      <c r="R147" s="13">
        <f t="shared" si="464"/>
        <v>55059.6</v>
      </c>
      <c r="S147" s="13">
        <f t="shared" si="464"/>
        <v>57273</v>
      </c>
      <c r="T147" s="13">
        <f t="shared" si="464"/>
        <v>59435.4</v>
      </c>
      <c r="U147" s="13">
        <f t="shared" si="464"/>
        <v>61567.200000000004</v>
      </c>
      <c r="V147" s="13">
        <f t="shared" si="464"/>
        <v>63658.200000000004</v>
      </c>
      <c r="W147" s="13">
        <f t="shared" si="464"/>
        <v>67258.8</v>
      </c>
      <c r="X147" s="13">
        <f t="shared" si="464"/>
        <v>75245.399999999994</v>
      </c>
      <c r="Y147" s="85">
        <f t="shared" si="464"/>
        <v>91330.8</v>
      </c>
      <c r="Z147" s="13">
        <f>N147*$Z$144</f>
        <v>45511.992000000006</v>
      </c>
      <c r="AA147" s="13">
        <f t="shared" si="465"/>
        <v>47949.384000000005</v>
      </c>
      <c r="AB147" s="13">
        <f t="shared" si="465"/>
        <v>51185.232000000004</v>
      </c>
      <c r="AC147" s="13">
        <f t="shared" si="465"/>
        <v>53601.612000000001</v>
      </c>
      <c r="AD147" s="13">
        <f t="shared" si="465"/>
        <v>56711.387999999999</v>
      </c>
      <c r="AE147" s="13">
        <f t="shared" si="465"/>
        <v>58991.19</v>
      </c>
      <c r="AF147" s="13">
        <f t="shared" si="465"/>
        <v>61218.462</v>
      </c>
      <c r="AG147" s="13">
        <f t="shared" si="465"/>
        <v>63414.216000000008</v>
      </c>
      <c r="AH147" s="13">
        <f t="shared" si="465"/>
        <v>65567.946000000011</v>
      </c>
      <c r="AI147" s="13">
        <f t="shared" si="465"/>
        <v>69276.563999999998</v>
      </c>
      <c r="AJ147" s="13">
        <f t="shared" si="465"/>
        <v>77502.762000000002</v>
      </c>
      <c r="AK147" s="13">
        <f t="shared" si="465"/>
        <v>94070.724000000002</v>
      </c>
    </row>
    <row r="148" spans="1:37" x14ac:dyDescent="0.25">
      <c r="A148" s="41" t="s">
        <v>131</v>
      </c>
      <c r="B148" s="36">
        <f t="shared" ref="B148:M148" si="466">SUM(B149:B150)</f>
        <v>95304</v>
      </c>
      <c r="C148" s="36">
        <f t="shared" si="466"/>
        <v>100408</v>
      </c>
      <c r="D148" s="36">
        <f t="shared" si="466"/>
        <v>107184</v>
      </c>
      <c r="E148" s="36">
        <f t="shared" si="466"/>
        <v>112244</v>
      </c>
      <c r="F148" s="36">
        <f t="shared" si="466"/>
        <v>118756</v>
      </c>
      <c r="G148" s="36">
        <f t="shared" si="466"/>
        <v>123530</v>
      </c>
      <c r="H148" s="36">
        <f t="shared" si="466"/>
        <v>128194</v>
      </c>
      <c r="I148" s="36">
        <f t="shared" si="466"/>
        <v>132792</v>
      </c>
      <c r="J148" s="36">
        <f t="shared" si="466"/>
        <v>137302</v>
      </c>
      <c r="K148" s="36">
        <f t="shared" si="466"/>
        <v>145068</v>
      </c>
      <c r="L148" s="36">
        <f t="shared" si="466"/>
        <v>162294</v>
      </c>
      <c r="M148" s="86">
        <f t="shared" si="466"/>
        <v>196988</v>
      </c>
      <c r="N148" s="36">
        <f t="shared" ref="N148:Y148" si="467">SUM(N149:N150)</f>
        <v>97210.08</v>
      </c>
      <c r="O148" s="36">
        <f t="shared" si="467"/>
        <v>102416.16</v>
      </c>
      <c r="P148" s="36">
        <f t="shared" si="467"/>
        <v>109327.67999999999</v>
      </c>
      <c r="Q148" s="36">
        <f t="shared" si="467"/>
        <v>114488.88</v>
      </c>
      <c r="R148" s="36">
        <f t="shared" si="467"/>
        <v>121131.12</v>
      </c>
      <c r="S148" s="36">
        <f t="shared" si="467"/>
        <v>126000.6</v>
      </c>
      <c r="T148" s="36">
        <f t="shared" si="467"/>
        <v>130757.88</v>
      </c>
      <c r="U148" s="36">
        <f t="shared" si="467"/>
        <v>135447.84</v>
      </c>
      <c r="V148" s="36">
        <f t="shared" si="467"/>
        <v>140048.04</v>
      </c>
      <c r="W148" s="36">
        <f t="shared" si="467"/>
        <v>147969.35999999999</v>
      </c>
      <c r="X148" s="36">
        <f t="shared" si="467"/>
        <v>165539.88</v>
      </c>
      <c r="Y148" s="86">
        <f t="shared" si="467"/>
        <v>200927.76</v>
      </c>
      <c r="Z148" s="36">
        <f t="shared" ref="Z148:AK148" si="468">SUM(Z149:Z150)</f>
        <v>100126.3824</v>
      </c>
      <c r="AA148" s="36">
        <f t="shared" si="468"/>
        <v>105488.64480000001</v>
      </c>
      <c r="AB148" s="36">
        <f t="shared" si="468"/>
        <v>112607.5104</v>
      </c>
      <c r="AC148" s="36">
        <f t="shared" si="468"/>
        <v>117923.54640000001</v>
      </c>
      <c r="AD148" s="36">
        <f t="shared" si="468"/>
        <v>124765.05360000001</v>
      </c>
      <c r="AE148" s="36">
        <f t="shared" si="468"/>
        <v>129780.61800000002</v>
      </c>
      <c r="AF148" s="36">
        <f t="shared" si="468"/>
        <v>134680.6164</v>
      </c>
      <c r="AG148" s="36">
        <f t="shared" si="468"/>
        <v>139511.2752</v>
      </c>
      <c r="AH148" s="36">
        <f t="shared" si="468"/>
        <v>144249.48120000001</v>
      </c>
      <c r="AI148" s="36">
        <f t="shared" si="468"/>
        <v>152408.44079999998</v>
      </c>
      <c r="AJ148" s="36">
        <f t="shared" si="468"/>
        <v>170506.07640000002</v>
      </c>
      <c r="AK148" s="86">
        <f t="shared" si="468"/>
        <v>206955.59280000001</v>
      </c>
    </row>
    <row r="149" spans="1:37" x14ac:dyDescent="0.25">
      <c r="A149" s="4" t="s">
        <v>147</v>
      </c>
      <c r="B149" s="37">
        <v>51984</v>
      </c>
      <c r="C149" s="37">
        <v>54768</v>
      </c>
      <c r="D149" s="37">
        <v>58464</v>
      </c>
      <c r="E149" s="38">
        <v>61224</v>
      </c>
      <c r="F149" s="37">
        <v>64776</v>
      </c>
      <c r="G149" s="37">
        <v>67380</v>
      </c>
      <c r="H149" s="37">
        <v>69924</v>
      </c>
      <c r="I149" s="37">
        <v>72432</v>
      </c>
      <c r="J149" s="37">
        <v>74892</v>
      </c>
      <c r="K149" s="37">
        <v>79128</v>
      </c>
      <c r="L149" s="37">
        <v>88524</v>
      </c>
      <c r="M149" s="87">
        <v>107448</v>
      </c>
      <c r="N149" s="37">
        <f>B149*$N$144</f>
        <v>53023.68</v>
      </c>
      <c r="O149" s="37">
        <f t="shared" ref="O149:Y150" si="469">C149*$N$144</f>
        <v>55863.360000000001</v>
      </c>
      <c r="P149" s="37">
        <f t="shared" si="469"/>
        <v>59633.279999999999</v>
      </c>
      <c r="Q149" s="37">
        <f t="shared" si="469"/>
        <v>62448.480000000003</v>
      </c>
      <c r="R149" s="37">
        <f t="shared" si="469"/>
        <v>66071.520000000004</v>
      </c>
      <c r="S149" s="37">
        <f t="shared" si="469"/>
        <v>68727.600000000006</v>
      </c>
      <c r="T149" s="37">
        <f t="shared" si="469"/>
        <v>71322.48</v>
      </c>
      <c r="U149" s="37">
        <f t="shared" si="469"/>
        <v>73880.639999999999</v>
      </c>
      <c r="V149" s="37">
        <f t="shared" si="469"/>
        <v>76389.84</v>
      </c>
      <c r="W149" s="37">
        <f t="shared" si="469"/>
        <v>80710.559999999998</v>
      </c>
      <c r="X149" s="37">
        <f t="shared" si="469"/>
        <v>90294.48</v>
      </c>
      <c r="Y149" s="87">
        <f t="shared" si="469"/>
        <v>109596.96</v>
      </c>
      <c r="Z149" s="13">
        <f>N149*$Z$144</f>
        <v>54614.390400000004</v>
      </c>
      <c r="AA149" s="13">
        <f t="shared" ref="AA149:AK150" si="470">O149*$Z$144</f>
        <v>57539.260800000004</v>
      </c>
      <c r="AB149" s="13">
        <f t="shared" si="470"/>
        <v>61422.278400000003</v>
      </c>
      <c r="AC149" s="13">
        <f t="shared" si="470"/>
        <v>64321.934400000006</v>
      </c>
      <c r="AD149" s="13">
        <f t="shared" si="470"/>
        <v>68053.665600000008</v>
      </c>
      <c r="AE149" s="13">
        <f t="shared" si="470"/>
        <v>70789.428000000014</v>
      </c>
      <c r="AF149" s="13">
        <f t="shared" si="470"/>
        <v>73462.154399999999</v>
      </c>
      <c r="AG149" s="13">
        <f t="shared" si="470"/>
        <v>76097.059200000003</v>
      </c>
      <c r="AH149" s="13">
        <f t="shared" si="470"/>
        <v>78681.535199999998</v>
      </c>
      <c r="AI149" s="13">
        <f t="shared" si="470"/>
        <v>83131.876799999998</v>
      </c>
      <c r="AJ149" s="13">
        <f t="shared" si="470"/>
        <v>93003.314400000003</v>
      </c>
      <c r="AK149" s="13">
        <f t="shared" si="470"/>
        <v>112884.86880000001</v>
      </c>
    </row>
    <row r="150" spans="1:37" x14ac:dyDescent="0.25">
      <c r="A150" s="4" t="s">
        <v>148</v>
      </c>
      <c r="B150" s="13">
        <v>43320</v>
      </c>
      <c r="C150" s="13">
        <v>45640</v>
      </c>
      <c r="D150" s="13">
        <v>48720</v>
      </c>
      <c r="E150" s="38">
        <v>51020</v>
      </c>
      <c r="F150" s="13">
        <v>53980</v>
      </c>
      <c r="G150" s="39">
        <v>56150</v>
      </c>
      <c r="H150" s="13">
        <v>58270</v>
      </c>
      <c r="I150" s="13">
        <v>60360</v>
      </c>
      <c r="J150" s="13">
        <v>62410</v>
      </c>
      <c r="K150" s="13">
        <v>65940</v>
      </c>
      <c r="L150" s="13">
        <v>73770</v>
      </c>
      <c r="M150" s="85">
        <v>89540</v>
      </c>
      <c r="N150" s="37">
        <f>B150*$N$144</f>
        <v>44186.400000000001</v>
      </c>
      <c r="O150" s="37">
        <f t="shared" si="469"/>
        <v>46552.800000000003</v>
      </c>
      <c r="P150" s="37">
        <f t="shared" si="469"/>
        <v>49694.400000000001</v>
      </c>
      <c r="Q150" s="37">
        <f t="shared" si="469"/>
        <v>52040.4</v>
      </c>
      <c r="R150" s="37">
        <f t="shared" si="469"/>
        <v>55059.6</v>
      </c>
      <c r="S150" s="37">
        <f t="shared" si="469"/>
        <v>57273</v>
      </c>
      <c r="T150" s="37">
        <f t="shared" si="469"/>
        <v>59435.4</v>
      </c>
      <c r="U150" s="37">
        <f t="shared" si="469"/>
        <v>61567.200000000004</v>
      </c>
      <c r="V150" s="37">
        <f t="shared" si="469"/>
        <v>63658.200000000004</v>
      </c>
      <c r="W150" s="37">
        <f t="shared" si="469"/>
        <v>67258.8</v>
      </c>
      <c r="X150" s="37">
        <f t="shared" si="469"/>
        <v>75245.399999999994</v>
      </c>
      <c r="Y150" s="87">
        <f t="shared" si="469"/>
        <v>91330.8</v>
      </c>
      <c r="Z150" s="13">
        <f>N150*$Z$144</f>
        <v>45511.992000000006</v>
      </c>
      <c r="AA150" s="13">
        <f t="shared" si="470"/>
        <v>47949.384000000005</v>
      </c>
      <c r="AB150" s="13">
        <f t="shared" si="470"/>
        <v>51185.232000000004</v>
      </c>
      <c r="AC150" s="13">
        <f t="shared" si="470"/>
        <v>53601.612000000001</v>
      </c>
      <c r="AD150" s="13">
        <f t="shared" si="470"/>
        <v>56711.387999999999</v>
      </c>
      <c r="AE150" s="13">
        <f t="shared" si="470"/>
        <v>58991.19</v>
      </c>
      <c r="AF150" s="13">
        <f t="shared" si="470"/>
        <v>61218.462</v>
      </c>
      <c r="AG150" s="13">
        <f t="shared" si="470"/>
        <v>63414.216000000008</v>
      </c>
      <c r="AH150" s="13">
        <f t="shared" si="470"/>
        <v>65567.946000000011</v>
      </c>
      <c r="AI150" s="13">
        <f t="shared" si="470"/>
        <v>69276.563999999998</v>
      </c>
      <c r="AJ150" s="13">
        <f t="shared" si="470"/>
        <v>77502.762000000002</v>
      </c>
      <c r="AK150" s="13">
        <f t="shared" si="470"/>
        <v>94070.724000000002</v>
      </c>
    </row>
    <row r="151" spans="1:37" x14ac:dyDescent="0.25">
      <c r="A151" s="41" t="s">
        <v>132</v>
      </c>
      <c r="B151" s="36">
        <f t="shared" ref="B151:M151" si="471">SUM(B152:B153)</f>
        <v>95304</v>
      </c>
      <c r="C151" s="36">
        <f t="shared" si="471"/>
        <v>100408</v>
      </c>
      <c r="D151" s="36">
        <f t="shared" si="471"/>
        <v>107184</v>
      </c>
      <c r="E151" s="36">
        <f t="shared" si="471"/>
        <v>112244</v>
      </c>
      <c r="F151" s="36">
        <f t="shared" si="471"/>
        <v>118756</v>
      </c>
      <c r="G151" s="36">
        <f t="shared" si="471"/>
        <v>123530</v>
      </c>
      <c r="H151" s="36">
        <f t="shared" si="471"/>
        <v>128194</v>
      </c>
      <c r="I151" s="36">
        <f t="shared" si="471"/>
        <v>132792</v>
      </c>
      <c r="J151" s="36">
        <f t="shared" si="471"/>
        <v>137302</v>
      </c>
      <c r="K151" s="36">
        <f t="shared" si="471"/>
        <v>145068</v>
      </c>
      <c r="L151" s="36">
        <f t="shared" si="471"/>
        <v>162294</v>
      </c>
      <c r="M151" s="86">
        <f t="shared" si="471"/>
        <v>196988</v>
      </c>
      <c r="N151" s="36">
        <f t="shared" ref="N151:Y151" si="472">SUM(N152:N153)</f>
        <v>97210.08</v>
      </c>
      <c r="O151" s="36">
        <f t="shared" si="472"/>
        <v>102416.16</v>
      </c>
      <c r="P151" s="36">
        <f t="shared" si="472"/>
        <v>109327.67999999999</v>
      </c>
      <c r="Q151" s="36">
        <f t="shared" si="472"/>
        <v>114488.88</v>
      </c>
      <c r="R151" s="36">
        <f t="shared" si="472"/>
        <v>121131.12</v>
      </c>
      <c r="S151" s="36">
        <f t="shared" si="472"/>
        <v>126000.6</v>
      </c>
      <c r="T151" s="36">
        <f t="shared" si="472"/>
        <v>130757.88</v>
      </c>
      <c r="U151" s="36">
        <f t="shared" si="472"/>
        <v>135447.84</v>
      </c>
      <c r="V151" s="36">
        <f t="shared" si="472"/>
        <v>140048.04</v>
      </c>
      <c r="W151" s="36">
        <f t="shared" si="472"/>
        <v>147969.35999999999</v>
      </c>
      <c r="X151" s="36">
        <f t="shared" si="472"/>
        <v>165539.88</v>
      </c>
      <c r="Y151" s="86">
        <f t="shared" si="472"/>
        <v>200927.76</v>
      </c>
      <c r="Z151" s="36">
        <f t="shared" ref="Z151:AK151" si="473">SUM(Z152:Z153)</f>
        <v>100126.3824</v>
      </c>
      <c r="AA151" s="36">
        <f t="shared" si="473"/>
        <v>105488.64480000001</v>
      </c>
      <c r="AB151" s="36">
        <f t="shared" si="473"/>
        <v>112607.5104</v>
      </c>
      <c r="AC151" s="36">
        <f t="shared" si="473"/>
        <v>117923.54640000001</v>
      </c>
      <c r="AD151" s="36">
        <f t="shared" si="473"/>
        <v>124765.05360000001</v>
      </c>
      <c r="AE151" s="36">
        <f t="shared" si="473"/>
        <v>129780.61800000002</v>
      </c>
      <c r="AF151" s="36">
        <f t="shared" si="473"/>
        <v>134680.6164</v>
      </c>
      <c r="AG151" s="36">
        <f t="shared" si="473"/>
        <v>139511.2752</v>
      </c>
      <c r="AH151" s="36">
        <f t="shared" si="473"/>
        <v>144249.48120000001</v>
      </c>
      <c r="AI151" s="36">
        <f t="shared" si="473"/>
        <v>152408.44079999998</v>
      </c>
      <c r="AJ151" s="36">
        <f t="shared" si="473"/>
        <v>170506.07640000002</v>
      </c>
      <c r="AK151" s="86">
        <f t="shared" si="473"/>
        <v>206955.59280000001</v>
      </c>
    </row>
    <row r="152" spans="1:37" x14ac:dyDescent="0.25">
      <c r="A152" s="4" t="s">
        <v>154</v>
      </c>
      <c r="B152" s="39">
        <v>51984</v>
      </c>
      <c r="C152" s="39">
        <v>54768</v>
      </c>
      <c r="D152" s="39">
        <v>58464</v>
      </c>
      <c r="E152" s="39">
        <v>61224</v>
      </c>
      <c r="F152" s="39">
        <v>64776</v>
      </c>
      <c r="G152" s="39">
        <v>67380</v>
      </c>
      <c r="H152" s="39">
        <v>69924</v>
      </c>
      <c r="I152" s="39">
        <v>72432</v>
      </c>
      <c r="J152" s="39">
        <v>74892</v>
      </c>
      <c r="K152" s="39">
        <v>79128</v>
      </c>
      <c r="L152" s="39">
        <v>88524</v>
      </c>
      <c r="M152" s="88">
        <v>107448</v>
      </c>
      <c r="N152" s="37">
        <f>B152*$N$144</f>
        <v>53023.68</v>
      </c>
      <c r="O152" s="37">
        <f t="shared" ref="O152:Y153" si="474">C152*$N$144</f>
        <v>55863.360000000001</v>
      </c>
      <c r="P152" s="37">
        <f t="shared" si="474"/>
        <v>59633.279999999999</v>
      </c>
      <c r="Q152" s="37">
        <f t="shared" si="474"/>
        <v>62448.480000000003</v>
      </c>
      <c r="R152" s="37">
        <f t="shared" si="474"/>
        <v>66071.520000000004</v>
      </c>
      <c r="S152" s="37">
        <f t="shared" si="474"/>
        <v>68727.600000000006</v>
      </c>
      <c r="T152" s="37">
        <f t="shared" si="474"/>
        <v>71322.48</v>
      </c>
      <c r="U152" s="37">
        <f t="shared" si="474"/>
        <v>73880.639999999999</v>
      </c>
      <c r="V152" s="37">
        <f t="shared" si="474"/>
        <v>76389.84</v>
      </c>
      <c r="W152" s="37">
        <f t="shared" si="474"/>
        <v>80710.559999999998</v>
      </c>
      <c r="X152" s="37">
        <f t="shared" si="474"/>
        <v>90294.48</v>
      </c>
      <c r="Y152" s="87">
        <f t="shared" si="474"/>
        <v>109596.96</v>
      </c>
      <c r="Z152" s="13">
        <f>N152*$Z$144</f>
        <v>54614.390400000004</v>
      </c>
      <c r="AA152" s="13">
        <f t="shared" ref="AA152:AK153" si="475">O152*$Z$144</f>
        <v>57539.260800000004</v>
      </c>
      <c r="AB152" s="13">
        <f t="shared" si="475"/>
        <v>61422.278400000003</v>
      </c>
      <c r="AC152" s="13">
        <f t="shared" si="475"/>
        <v>64321.934400000006</v>
      </c>
      <c r="AD152" s="13">
        <f t="shared" si="475"/>
        <v>68053.665600000008</v>
      </c>
      <c r="AE152" s="13">
        <f t="shared" si="475"/>
        <v>70789.428000000014</v>
      </c>
      <c r="AF152" s="13">
        <f t="shared" si="475"/>
        <v>73462.154399999999</v>
      </c>
      <c r="AG152" s="13">
        <f t="shared" si="475"/>
        <v>76097.059200000003</v>
      </c>
      <c r="AH152" s="13">
        <f t="shared" si="475"/>
        <v>78681.535199999998</v>
      </c>
      <c r="AI152" s="13">
        <f t="shared" si="475"/>
        <v>83131.876799999998</v>
      </c>
      <c r="AJ152" s="13">
        <f t="shared" si="475"/>
        <v>93003.314400000003</v>
      </c>
      <c r="AK152" s="13">
        <f t="shared" si="475"/>
        <v>112884.86880000001</v>
      </c>
    </row>
    <row r="153" spans="1:37" x14ac:dyDescent="0.25">
      <c r="A153" s="4" t="s">
        <v>149</v>
      </c>
      <c r="B153" s="37">
        <v>43320</v>
      </c>
      <c r="C153" s="37">
        <v>45640</v>
      </c>
      <c r="D153" s="37">
        <v>48720</v>
      </c>
      <c r="E153" s="37">
        <v>51020</v>
      </c>
      <c r="F153" s="37">
        <v>53980</v>
      </c>
      <c r="G153" s="37">
        <v>56150</v>
      </c>
      <c r="H153" s="37">
        <v>58270</v>
      </c>
      <c r="I153" s="37">
        <v>60360</v>
      </c>
      <c r="J153" s="37">
        <v>62410</v>
      </c>
      <c r="K153" s="37">
        <v>65940</v>
      </c>
      <c r="L153" s="37">
        <v>73770</v>
      </c>
      <c r="M153" s="87">
        <v>89540</v>
      </c>
      <c r="N153" s="37">
        <f>B153*$N$144</f>
        <v>44186.400000000001</v>
      </c>
      <c r="O153" s="37">
        <f t="shared" si="474"/>
        <v>46552.800000000003</v>
      </c>
      <c r="P153" s="37">
        <f t="shared" si="474"/>
        <v>49694.400000000001</v>
      </c>
      <c r="Q153" s="37">
        <f t="shared" si="474"/>
        <v>52040.4</v>
      </c>
      <c r="R153" s="37">
        <f t="shared" si="474"/>
        <v>55059.6</v>
      </c>
      <c r="S153" s="37">
        <f t="shared" si="474"/>
        <v>57273</v>
      </c>
      <c r="T153" s="37">
        <f t="shared" si="474"/>
        <v>59435.4</v>
      </c>
      <c r="U153" s="37">
        <f t="shared" si="474"/>
        <v>61567.200000000004</v>
      </c>
      <c r="V153" s="37">
        <f t="shared" si="474"/>
        <v>63658.200000000004</v>
      </c>
      <c r="W153" s="37">
        <f t="shared" si="474"/>
        <v>67258.8</v>
      </c>
      <c r="X153" s="37">
        <f t="shared" si="474"/>
        <v>75245.399999999994</v>
      </c>
      <c r="Y153" s="87">
        <f t="shared" si="474"/>
        <v>91330.8</v>
      </c>
      <c r="Z153" s="13">
        <f>N153*$Z$144</f>
        <v>45511.992000000006</v>
      </c>
      <c r="AA153" s="13">
        <f t="shared" si="475"/>
        <v>47949.384000000005</v>
      </c>
      <c r="AB153" s="13">
        <f t="shared" si="475"/>
        <v>51185.232000000004</v>
      </c>
      <c r="AC153" s="13">
        <f t="shared" si="475"/>
        <v>53601.612000000001</v>
      </c>
      <c r="AD153" s="13">
        <f t="shared" si="475"/>
        <v>56711.387999999999</v>
      </c>
      <c r="AE153" s="13">
        <f t="shared" si="475"/>
        <v>58991.19</v>
      </c>
      <c r="AF153" s="13">
        <f t="shared" si="475"/>
        <v>61218.462</v>
      </c>
      <c r="AG153" s="13">
        <f t="shared" si="475"/>
        <v>63414.216000000008</v>
      </c>
      <c r="AH153" s="13">
        <f t="shared" si="475"/>
        <v>65567.946000000011</v>
      </c>
      <c r="AI153" s="13">
        <f t="shared" si="475"/>
        <v>69276.563999999998</v>
      </c>
      <c r="AJ153" s="13">
        <f t="shared" si="475"/>
        <v>77502.762000000002</v>
      </c>
      <c r="AK153" s="13">
        <f t="shared" si="475"/>
        <v>94070.724000000002</v>
      </c>
    </row>
    <row r="154" spans="1:37" x14ac:dyDescent="0.25">
      <c r="A154" s="41" t="s">
        <v>133</v>
      </c>
      <c r="B154" s="36">
        <f t="shared" ref="B154:M154" si="476">SUM(B155:B156)</f>
        <v>69312</v>
      </c>
      <c r="C154" s="36">
        <f t="shared" si="476"/>
        <v>73024</v>
      </c>
      <c r="D154" s="36">
        <f t="shared" si="476"/>
        <v>77952</v>
      </c>
      <c r="E154" s="36">
        <f t="shared" si="476"/>
        <v>81632</v>
      </c>
      <c r="F154" s="36">
        <f t="shared" si="476"/>
        <v>86368</v>
      </c>
      <c r="G154" s="36">
        <f t="shared" si="476"/>
        <v>89840</v>
      </c>
      <c r="H154" s="36">
        <f t="shared" si="476"/>
        <v>93232</v>
      </c>
      <c r="I154" s="36">
        <f t="shared" si="476"/>
        <v>96576</v>
      </c>
      <c r="J154" s="36">
        <f t="shared" si="476"/>
        <v>99856</v>
      </c>
      <c r="K154" s="36">
        <f t="shared" si="476"/>
        <v>105504</v>
      </c>
      <c r="L154" s="36">
        <f t="shared" si="476"/>
        <v>118032</v>
      </c>
      <c r="M154" s="86">
        <f t="shared" si="476"/>
        <v>143264</v>
      </c>
      <c r="N154" s="36">
        <f t="shared" ref="N154:Y154" si="477">SUM(N155:N156)</f>
        <v>70698.240000000005</v>
      </c>
      <c r="O154" s="36">
        <f t="shared" si="477"/>
        <v>74484.48000000001</v>
      </c>
      <c r="P154" s="36">
        <f t="shared" si="477"/>
        <v>79511.040000000008</v>
      </c>
      <c r="Q154" s="36">
        <f t="shared" si="477"/>
        <v>83264.639999999999</v>
      </c>
      <c r="R154" s="36">
        <f t="shared" si="477"/>
        <v>88095.360000000001</v>
      </c>
      <c r="S154" s="36">
        <f t="shared" si="477"/>
        <v>91636.800000000003</v>
      </c>
      <c r="T154" s="36">
        <f t="shared" si="477"/>
        <v>95096.639999999999</v>
      </c>
      <c r="U154" s="36">
        <f t="shared" si="477"/>
        <v>98507.520000000004</v>
      </c>
      <c r="V154" s="36">
        <f t="shared" si="477"/>
        <v>101853.12</v>
      </c>
      <c r="W154" s="36">
        <f t="shared" si="477"/>
        <v>107614.08</v>
      </c>
      <c r="X154" s="36">
        <f t="shared" si="477"/>
        <v>120392.64</v>
      </c>
      <c r="Y154" s="86">
        <f t="shared" si="477"/>
        <v>146129.28</v>
      </c>
      <c r="Z154" s="36">
        <f t="shared" ref="Z154:AK154" si="478">SUM(Z155:Z156)</f>
        <v>72819.1872</v>
      </c>
      <c r="AA154" s="36">
        <f t="shared" si="478"/>
        <v>76719.014400000015</v>
      </c>
      <c r="AB154" s="36">
        <f t="shared" si="478"/>
        <v>81896.371199999994</v>
      </c>
      <c r="AC154" s="36">
        <f t="shared" si="478"/>
        <v>85762.579200000007</v>
      </c>
      <c r="AD154" s="36">
        <f t="shared" si="478"/>
        <v>90738.22080000001</v>
      </c>
      <c r="AE154" s="36">
        <f t="shared" si="478"/>
        <v>94385.90400000001</v>
      </c>
      <c r="AF154" s="36">
        <f t="shared" si="478"/>
        <v>97949.539199999999</v>
      </c>
      <c r="AG154" s="36">
        <f t="shared" si="478"/>
        <v>101462.74560000001</v>
      </c>
      <c r="AH154" s="36">
        <f t="shared" si="478"/>
        <v>104908.7136</v>
      </c>
      <c r="AI154" s="36">
        <f t="shared" si="478"/>
        <v>110842.5024</v>
      </c>
      <c r="AJ154" s="36">
        <f t="shared" si="478"/>
        <v>124004.4192</v>
      </c>
      <c r="AK154" s="86">
        <f t="shared" si="478"/>
        <v>150513.15840000001</v>
      </c>
    </row>
    <row r="155" spans="1:37" x14ac:dyDescent="0.25">
      <c r="A155" s="4" t="s">
        <v>150</v>
      </c>
      <c r="B155" s="39">
        <v>38988</v>
      </c>
      <c r="C155" s="39">
        <v>41076</v>
      </c>
      <c r="D155" s="39">
        <v>43848</v>
      </c>
      <c r="E155" s="39">
        <v>45918</v>
      </c>
      <c r="F155" s="39">
        <v>48582</v>
      </c>
      <c r="G155" s="39">
        <v>50535</v>
      </c>
      <c r="H155" s="39">
        <v>52443</v>
      </c>
      <c r="I155" s="39">
        <v>54324</v>
      </c>
      <c r="J155" s="39">
        <v>56169</v>
      </c>
      <c r="K155" s="39">
        <v>59346</v>
      </c>
      <c r="L155" s="39">
        <v>66393</v>
      </c>
      <c r="M155" s="88">
        <v>80586</v>
      </c>
      <c r="N155" s="37">
        <f>B155*$N$144</f>
        <v>39767.760000000002</v>
      </c>
      <c r="O155" s="37">
        <f t="shared" ref="O155:Y156" si="479">C155*$N$144</f>
        <v>41897.520000000004</v>
      </c>
      <c r="P155" s="37">
        <f t="shared" si="479"/>
        <v>44724.959999999999</v>
      </c>
      <c r="Q155" s="37">
        <f t="shared" si="479"/>
        <v>46836.36</v>
      </c>
      <c r="R155" s="37">
        <f t="shared" si="479"/>
        <v>49553.64</v>
      </c>
      <c r="S155" s="37">
        <f t="shared" si="479"/>
        <v>51545.700000000004</v>
      </c>
      <c r="T155" s="37">
        <f t="shared" si="479"/>
        <v>53491.86</v>
      </c>
      <c r="U155" s="37">
        <f t="shared" si="479"/>
        <v>55410.48</v>
      </c>
      <c r="V155" s="37">
        <f t="shared" si="479"/>
        <v>57292.38</v>
      </c>
      <c r="W155" s="37">
        <f t="shared" si="479"/>
        <v>60532.92</v>
      </c>
      <c r="X155" s="37">
        <f t="shared" si="479"/>
        <v>67720.86</v>
      </c>
      <c r="Y155" s="87">
        <f t="shared" si="479"/>
        <v>82197.72</v>
      </c>
      <c r="Z155" s="13">
        <f>N155*$Z$144</f>
        <v>40960.792800000003</v>
      </c>
      <c r="AA155" s="13">
        <f t="shared" ref="AA155:AK156" si="480">O155*$Z$144</f>
        <v>43154.445600000006</v>
      </c>
      <c r="AB155" s="13">
        <f t="shared" si="480"/>
        <v>46066.7088</v>
      </c>
      <c r="AC155" s="13">
        <f t="shared" si="480"/>
        <v>48241.450799999999</v>
      </c>
      <c r="AD155" s="13">
        <f t="shared" si="480"/>
        <v>51040.249199999998</v>
      </c>
      <c r="AE155" s="13">
        <f t="shared" si="480"/>
        <v>53092.071000000004</v>
      </c>
      <c r="AF155" s="13">
        <f t="shared" si="480"/>
        <v>55096.6158</v>
      </c>
      <c r="AG155" s="13">
        <f t="shared" si="480"/>
        <v>57072.794400000006</v>
      </c>
      <c r="AH155" s="13">
        <f t="shared" si="480"/>
        <v>59011.151400000002</v>
      </c>
      <c r="AI155" s="13">
        <f t="shared" si="480"/>
        <v>62348.907599999999</v>
      </c>
      <c r="AJ155" s="13">
        <f t="shared" si="480"/>
        <v>69752.485800000009</v>
      </c>
      <c r="AK155" s="13">
        <f t="shared" si="480"/>
        <v>84663.651599999997</v>
      </c>
    </row>
    <row r="156" spans="1:37" x14ac:dyDescent="0.25">
      <c r="A156" s="4" t="s">
        <v>151</v>
      </c>
      <c r="B156" s="39">
        <v>30324</v>
      </c>
      <c r="C156" s="39">
        <v>31948</v>
      </c>
      <c r="D156" s="39">
        <v>34104</v>
      </c>
      <c r="E156" s="39">
        <v>35714</v>
      </c>
      <c r="F156" s="39">
        <v>37786</v>
      </c>
      <c r="G156" s="39">
        <v>39305</v>
      </c>
      <c r="H156" s="39">
        <v>40789</v>
      </c>
      <c r="I156" s="39">
        <v>42252</v>
      </c>
      <c r="J156" s="39">
        <v>43687</v>
      </c>
      <c r="K156" s="39">
        <v>46158</v>
      </c>
      <c r="L156" s="39">
        <v>51639</v>
      </c>
      <c r="M156" s="88">
        <v>62678</v>
      </c>
      <c r="N156" s="37">
        <f>B156*$N$144</f>
        <v>30930.48</v>
      </c>
      <c r="O156" s="37">
        <f t="shared" si="479"/>
        <v>32586.959999999999</v>
      </c>
      <c r="P156" s="37">
        <f t="shared" si="479"/>
        <v>34786.080000000002</v>
      </c>
      <c r="Q156" s="37">
        <f t="shared" si="479"/>
        <v>36428.28</v>
      </c>
      <c r="R156" s="37">
        <f t="shared" si="479"/>
        <v>38541.72</v>
      </c>
      <c r="S156" s="37">
        <f t="shared" si="479"/>
        <v>40091.1</v>
      </c>
      <c r="T156" s="37">
        <f t="shared" si="479"/>
        <v>41604.78</v>
      </c>
      <c r="U156" s="37">
        <f t="shared" si="479"/>
        <v>43097.04</v>
      </c>
      <c r="V156" s="37">
        <f t="shared" si="479"/>
        <v>44560.74</v>
      </c>
      <c r="W156" s="37">
        <f t="shared" si="479"/>
        <v>47081.16</v>
      </c>
      <c r="X156" s="37">
        <f t="shared" si="479"/>
        <v>52671.78</v>
      </c>
      <c r="Y156" s="87">
        <f t="shared" si="479"/>
        <v>63931.56</v>
      </c>
      <c r="Z156" s="13">
        <f>N156*$Z$144</f>
        <v>31858.394400000001</v>
      </c>
      <c r="AA156" s="13">
        <f t="shared" si="480"/>
        <v>33564.568800000001</v>
      </c>
      <c r="AB156" s="13">
        <f t="shared" si="480"/>
        <v>35829.662400000001</v>
      </c>
      <c r="AC156" s="13">
        <f t="shared" si="480"/>
        <v>37521.128400000001</v>
      </c>
      <c r="AD156" s="13">
        <f t="shared" si="480"/>
        <v>39697.971600000004</v>
      </c>
      <c r="AE156" s="13">
        <f t="shared" si="480"/>
        <v>41293.832999999999</v>
      </c>
      <c r="AF156" s="13">
        <f t="shared" si="480"/>
        <v>42852.9234</v>
      </c>
      <c r="AG156" s="13">
        <f t="shared" si="480"/>
        <v>44389.951200000003</v>
      </c>
      <c r="AH156" s="13">
        <f t="shared" si="480"/>
        <v>45897.5622</v>
      </c>
      <c r="AI156" s="13">
        <f t="shared" si="480"/>
        <v>48493.594800000006</v>
      </c>
      <c r="AJ156" s="13">
        <f t="shared" si="480"/>
        <v>54251.933400000002</v>
      </c>
      <c r="AK156" s="13">
        <f t="shared" si="480"/>
        <v>65849.506800000003</v>
      </c>
    </row>
    <row r="157" spans="1:37" x14ac:dyDescent="0.25">
      <c r="A157" s="41" t="s">
        <v>134</v>
      </c>
      <c r="B157" s="36">
        <f t="shared" ref="B157:M157" si="481">SUM(B158:B159)</f>
        <v>64980</v>
      </c>
      <c r="C157" s="36">
        <f t="shared" si="481"/>
        <v>68460</v>
      </c>
      <c r="D157" s="36">
        <f t="shared" si="481"/>
        <v>73080</v>
      </c>
      <c r="E157" s="36">
        <f t="shared" si="481"/>
        <v>76530</v>
      </c>
      <c r="F157" s="36">
        <f t="shared" si="481"/>
        <v>80970</v>
      </c>
      <c r="G157" s="36">
        <f t="shared" si="481"/>
        <v>84225</v>
      </c>
      <c r="H157" s="36">
        <f t="shared" si="481"/>
        <v>87405</v>
      </c>
      <c r="I157" s="36">
        <f t="shared" si="481"/>
        <v>90540</v>
      </c>
      <c r="J157" s="36">
        <f t="shared" si="481"/>
        <v>93615</v>
      </c>
      <c r="K157" s="36">
        <f t="shared" si="481"/>
        <v>98910</v>
      </c>
      <c r="L157" s="36">
        <f t="shared" si="481"/>
        <v>110655</v>
      </c>
      <c r="M157" s="86">
        <f t="shared" si="481"/>
        <v>134310</v>
      </c>
      <c r="N157" s="36">
        <f t="shared" ref="N157:Y157" si="482">SUM(N158:N159)</f>
        <v>66279.600000000006</v>
      </c>
      <c r="O157" s="36">
        <f t="shared" si="482"/>
        <v>69829.2</v>
      </c>
      <c r="P157" s="36">
        <f t="shared" si="482"/>
        <v>74541.600000000006</v>
      </c>
      <c r="Q157" s="36">
        <f t="shared" si="482"/>
        <v>78060.600000000006</v>
      </c>
      <c r="R157" s="36">
        <f t="shared" si="482"/>
        <v>82589.399999999994</v>
      </c>
      <c r="S157" s="36">
        <f t="shared" si="482"/>
        <v>85909.5</v>
      </c>
      <c r="T157" s="36">
        <f t="shared" si="482"/>
        <v>89153.1</v>
      </c>
      <c r="U157" s="36">
        <f t="shared" si="482"/>
        <v>92350.8</v>
      </c>
      <c r="V157" s="36">
        <f t="shared" si="482"/>
        <v>95487.299999999988</v>
      </c>
      <c r="W157" s="36">
        <f t="shared" si="482"/>
        <v>100888.20000000001</v>
      </c>
      <c r="X157" s="36">
        <f t="shared" si="482"/>
        <v>112868.1</v>
      </c>
      <c r="Y157" s="86">
        <f t="shared" si="482"/>
        <v>136996.20000000001</v>
      </c>
      <c r="Z157" s="36">
        <f t="shared" ref="Z157:AK157" si="483">SUM(Z158:Z159)</f>
        <v>68267.987999999998</v>
      </c>
      <c r="AA157" s="36">
        <f t="shared" si="483"/>
        <v>71924.076000000001</v>
      </c>
      <c r="AB157" s="36">
        <f t="shared" si="483"/>
        <v>76777.847999999998</v>
      </c>
      <c r="AC157" s="36">
        <f t="shared" si="483"/>
        <v>80402.418000000005</v>
      </c>
      <c r="AD157" s="36">
        <f t="shared" si="483"/>
        <v>85067.082000000009</v>
      </c>
      <c r="AE157" s="36">
        <f t="shared" si="483"/>
        <v>88486.785000000003</v>
      </c>
      <c r="AF157" s="36">
        <f t="shared" si="483"/>
        <v>91827.692999999999</v>
      </c>
      <c r="AG157" s="36">
        <f t="shared" si="483"/>
        <v>95121.324000000008</v>
      </c>
      <c r="AH157" s="36">
        <f t="shared" si="483"/>
        <v>98351.918999999994</v>
      </c>
      <c r="AI157" s="36">
        <f t="shared" si="483"/>
        <v>103914.84600000001</v>
      </c>
      <c r="AJ157" s="36">
        <f t="shared" si="483"/>
        <v>116254.14300000001</v>
      </c>
      <c r="AK157" s="86">
        <f t="shared" si="483"/>
        <v>141106.08600000001</v>
      </c>
    </row>
    <row r="158" spans="1:37" x14ac:dyDescent="0.25">
      <c r="A158" s="4" t="s">
        <v>152</v>
      </c>
      <c r="B158" s="30">
        <v>34656</v>
      </c>
      <c r="C158" s="38">
        <v>36512</v>
      </c>
      <c r="D158" s="38">
        <v>38976</v>
      </c>
      <c r="E158" s="38">
        <v>40816</v>
      </c>
      <c r="F158" s="38">
        <v>43184</v>
      </c>
      <c r="G158" s="38">
        <v>44920</v>
      </c>
      <c r="H158" s="38">
        <v>46616</v>
      </c>
      <c r="I158" s="38">
        <v>48288</v>
      </c>
      <c r="J158" s="38">
        <v>49928</v>
      </c>
      <c r="K158" s="38">
        <v>52752</v>
      </c>
      <c r="L158" s="38">
        <v>59016</v>
      </c>
      <c r="M158" s="89">
        <v>71632</v>
      </c>
      <c r="N158" s="37">
        <f>B158*$N$144</f>
        <v>35349.120000000003</v>
      </c>
      <c r="O158" s="37">
        <f t="shared" ref="O158:Y159" si="484">C158*$N$144</f>
        <v>37242.239999999998</v>
      </c>
      <c r="P158" s="37">
        <f t="shared" si="484"/>
        <v>39755.520000000004</v>
      </c>
      <c r="Q158" s="37">
        <f t="shared" si="484"/>
        <v>41632.32</v>
      </c>
      <c r="R158" s="37">
        <f t="shared" si="484"/>
        <v>44047.68</v>
      </c>
      <c r="S158" s="37">
        <f t="shared" si="484"/>
        <v>45818.400000000001</v>
      </c>
      <c r="T158" s="37">
        <f t="shared" si="484"/>
        <v>47548.32</v>
      </c>
      <c r="U158" s="37">
        <f t="shared" si="484"/>
        <v>49253.760000000002</v>
      </c>
      <c r="V158" s="37">
        <f t="shared" si="484"/>
        <v>50926.559999999998</v>
      </c>
      <c r="W158" s="37">
        <f t="shared" si="484"/>
        <v>53807.040000000001</v>
      </c>
      <c r="X158" s="37">
        <f t="shared" si="484"/>
        <v>60196.32</v>
      </c>
      <c r="Y158" s="87">
        <f t="shared" si="484"/>
        <v>73064.639999999999</v>
      </c>
      <c r="Z158" s="13">
        <f>N158*$Z$144</f>
        <v>36409.5936</v>
      </c>
      <c r="AA158" s="13">
        <f t="shared" ref="AA158:AK159" si="485">O158*$Z$144</f>
        <v>38359.5072</v>
      </c>
      <c r="AB158" s="13">
        <f t="shared" si="485"/>
        <v>40948.185600000004</v>
      </c>
      <c r="AC158" s="13">
        <f t="shared" si="485"/>
        <v>42881.289600000004</v>
      </c>
      <c r="AD158" s="13">
        <f t="shared" si="485"/>
        <v>45369.110400000005</v>
      </c>
      <c r="AE158" s="13">
        <f t="shared" si="485"/>
        <v>47192.952000000005</v>
      </c>
      <c r="AF158" s="13">
        <f t="shared" si="485"/>
        <v>48974.7696</v>
      </c>
      <c r="AG158" s="13">
        <f t="shared" si="485"/>
        <v>50731.372800000005</v>
      </c>
      <c r="AH158" s="13">
        <f t="shared" si="485"/>
        <v>52454.356800000001</v>
      </c>
      <c r="AI158" s="13">
        <f t="shared" si="485"/>
        <v>55421.251199999999</v>
      </c>
      <c r="AJ158" s="13">
        <f t="shared" si="485"/>
        <v>62002.209600000002</v>
      </c>
      <c r="AK158" s="13">
        <f t="shared" si="485"/>
        <v>75256.579200000007</v>
      </c>
    </row>
    <row r="159" spans="1:37" x14ac:dyDescent="0.25">
      <c r="A159" s="4" t="s">
        <v>153</v>
      </c>
      <c r="B159" s="30">
        <v>30324</v>
      </c>
      <c r="C159" s="38">
        <v>31948</v>
      </c>
      <c r="D159" s="38">
        <v>34104</v>
      </c>
      <c r="E159" s="38">
        <v>35714</v>
      </c>
      <c r="F159" s="38">
        <v>37786</v>
      </c>
      <c r="G159" s="38">
        <v>39305</v>
      </c>
      <c r="H159" s="38">
        <v>40789</v>
      </c>
      <c r="I159" s="38">
        <v>42252</v>
      </c>
      <c r="J159" s="38">
        <v>43687</v>
      </c>
      <c r="K159" s="38">
        <v>46158</v>
      </c>
      <c r="L159" s="38">
        <v>51639</v>
      </c>
      <c r="M159" s="89">
        <v>62678</v>
      </c>
      <c r="N159" s="37">
        <f>B159*$N$144</f>
        <v>30930.48</v>
      </c>
      <c r="O159" s="37">
        <f t="shared" si="484"/>
        <v>32586.959999999999</v>
      </c>
      <c r="P159" s="37">
        <f t="shared" si="484"/>
        <v>34786.080000000002</v>
      </c>
      <c r="Q159" s="37">
        <f t="shared" si="484"/>
        <v>36428.28</v>
      </c>
      <c r="R159" s="37">
        <f t="shared" si="484"/>
        <v>38541.72</v>
      </c>
      <c r="S159" s="37">
        <f t="shared" si="484"/>
        <v>40091.1</v>
      </c>
      <c r="T159" s="37">
        <f t="shared" si="484"/>
        <v>41604.78</v>
      </c>
      <c r="U159" s="37">
        <f t="shared" si="484"/>
        <v>43097.04</v>
      </c>
      <c r="V159" s="37">
        <f t="shared" si="484"/>
        <v>44560.74</v>
      </c>
      <c r="W159" s="37">
        <f t="shared" si="484"/>
        <v>47081.16</v>
      </c>
      <c r="X159" s="37">
        <f t="shared" si="484"/>
        <v>52671.78</v>
      </c>
      <c r="Y159" s="87">
        <f t="shared" si="484"/>
        <v>63931.56</v>
      </c>
      <c r="Z159" s="13">
        <f>N159*$Z$144</f>
        <v>31858.394400000001</v>
      </c>
      <c r="AA159" s="13">
        <f t="shared" si="485"/>
        <v>33564.568800000001</v>
      </c>
      <c r="AB159" s="13">
        <f t="shared" si="485"/>
        <v>35829.662400000001</v>
      </c>
      <c r="AC159" s="13">
        <f t="shared" si="485"/>
        <v>37521.128400000001</v>
      </c>
      <c r="AD159" s="13">
        <f t="shared" si="485"/>
        <v>39697.971600000004</v>
      </c>
      <c r="AE159" s="13">
        <f t="shared" si="485"/>
        <v>41293.832999999999</v>
      </c>
      <c r="AF159" s="13">
        <f t="shared" si="485"/>
        <v>42852.9234</v>
      </c>
      <c r="AG159" s="13">
        <f t="shared" si="485"/>
        <v>44389.951200000003</v>
      </c>
      <c r="AH159" s="13">
        <f t="shared" si="485"/>
        <v>45897.5622</v>
      </c>
      <c r="AI159" s="13">
        <f t="shared" si="485"/>
        <v>48493.594800000006</v>
      </c>
      <c r="AJ159" s="13">
        <f t="shared" si="485"/>
        <v>54251.933400000002</v>
      </c>
      <c r="AK159" s="13">
        <f t="shared" si="485"/>
        <v>65849.506800000003</v>
      </c>
    </row>
    <row r="160" spans="1:37" x14ac:dyDescent="0.25">
      <c r="B160" s="8"/>
    </row>
    <row r="161" spans="1:37" x14ac:dyDescent="0.25">
      <c r="M161"/>
      <c r="N161" s="15" t="str">
        <f t="shared" ref="N161:AK161" si="486">N3</f>
        <v>jan</v>
      </c>
      <c r="O161" s="15" t="str">
        <f t="shared" si="486"/>
        <v>fev</v>
      </c>
      <c r="P161" s="15" t="str">
        <f t="shared" si="486"/>
        <v>mar</v>
      </c>
      <c r="Q161" s="15" t="str">
        <f t="shared" si="486"/>
        <v>abr</v>
      </c>
      <c r="R161" s="15" t="str">
        <f t="shared" si="486"/>
        <v>mai</v>
      </c>
      <c r="S161" s="15" t="str">
        <f t="shared" si="486"/>
        <v>jun</v>
      </c>
      <c r="T161" s="15" t="str">
        <f t="shared" si="486"/>
        <v>jul</v>
      </c>
      <c r="U161" s="15" t="str">
        <f t="shared" si="486"/>
        <v>ago</v>
      </c>
      <c r="V161" s="15" t="str">
        <f t="shared" si="486"/>
        <v>set</v>
      </c>
      <c r="W161" s="15" t="str">
        <f t="shared" si="486"/>
        <v>out</v>
      </c>
      <c r="X161" s="15" t="str">
        <f t="shared" si="486"/>
        <v>nov</v>
      </c>
      <c r="Y161" s="105" t="str">
        <f t="shared" si="486"/>
        <v>dez</v>
      </c>
      <c r="Z161" s="15" t="str">
        <f t="shared" si="486"/>
        <v>jan</v>
      </c>
      <c r="AA161" s="15" t="str">
        <f t="shared" si="486"/>
        <v>fev</v>
      </c>
      <c r="AB161" s="15" t="str">
        <f t="shared" si="486"/>
        <v>mar</v>
      </c>
      <c r="AC161" s="15" t="str">
        <f t="shared" si="486"/>
        <v>abr</v>
      </c>
      <c r="AD161" s="15" t="str">
        <f t="shared" si="486"/>
        <v>mai</v>
      </c>
      <c r="AE161" s="15" t="str">
        <f t="shared" si="486"/>
        <v>jun</v>
      </c>
      <c r="AF161" s="15" t="str">
        <f t="shared" si="486"/>
        <v>jul</v>
      </c>
      <c r="AG161" s="15" t="str">
        <f t="shared" si="486"/>
        <v>ago</v>
      </c>
      <c r="AH161" s="15" t="str">
        <f t="shared" si="486"/>
        <v>set</v>
      </c>
      <c r="AI161" s="15" t="str">
        <f t="shared" si="486"/>
        <v>out</v>
      </c>
      <c r="AJ161" s="15" t="str">
        <f t="shared" si="486"/>
        <v>nov</v>
      </c>
      <c r="AK161" s="15" t="str">
        <f t="shared" si="486"/>
        <v>dez</v>
      </c>
    </row>
    <row r="162" spans="1:37" x14ac:dyDescent="0.25">
      <c r="A162" s="101" t="s">
        <v>74</v>
      </c>
      <c r="B162" s="15">
        <f t="shared" ref="B162:AK162" si="487">B5</f>
        <v>550000</v>
      </c>
      <c r="C162" s="15">
        <f t="shared" si="487"/>
        <v>580000</v>
      </c>
      <c r="D162" s="15">
        <f t="shared" si="487"/>
        <v>620000</v>
      </c>
      <c r="E162" s="15">
        <f t="shared" si="487"/>
        <v>660000</v>
      </c>
      <c r="F162" s="15">
        <f t="shared" si="487"/>
        <v>700000</v>
      </c>
      <c r="G162" s="15">
        <f t="shared" si="487"/>
        <v>730000</v>
      </c>
      <c r="H162" s="15">
        <f t="shared" si="487"/>
        <v>760000</v>
      </c>
      <c r="I162" s="15">
        <f t="shared" si="487"/>
        <v>790000</v>
      </c>
      <c r="J162" s="15">
        <f t="shared" si="487"/>
        <v>820000</v>
      </c>
      <c r="K162" s="15">
        <f t="shared" si="487"/>
        <v>870000</v>
      </c>
      <c r="L162" s="15">
        <f t="shared" si="487"/>
        <v>950000</v>
      </c>
      <c r="M162" s="15">
        <f t="shared" si="487"/>
        <v>1080000</v>
      </c>
      <c r="N162" s="15">
        <f t="shared" si="487"/>
        <v>605000</v>
      </c>
      <c r="O162" s="15">
        <f t="shared" si="487"/>
        <v>638000</v>
      </c>
      <c r="P162" s="15">
        <f t="shared" si="487"/>
        <v>682000</v>
      </c>
      <c r="Q162" s="15">
        <f t="shared" si="487"/>
        <v>726000</v>
      </c>
      <c r="R162" s="15">
        <f t="shared" si="487"/>
        <v>770000</v>
      </c>
      <c r="S162" s="15">
        <f t="shared" si="487"/>
        <v>803000</v>
      </c>
      <c r="T162" s="15">
        <f t="shared" si="487"/>
        <v>836000</v>
      </c>
      <c r="U162" s="15">
        <f t="shared" si="487"/>
        <v>869000</v>
      </c>
      <c r="V162" s="15">
        <f t="shared" si="487"/>
        <v>902000</v>
      </c>
      <c r="W162" s="15">
        <f t="shared" si="487"/>
        <v>957000</v>
      </c>
      <c r="X162" s="15">
        <f t="shared" si="487"/>
        <v>1045000</v>
      </c>
      <c r="Y162" s="105">
        <f t="shared" si="487"/>
        <v>1188000</v>
      </c>
      <c r="Z162" s="15">
        <f t="shared" si="487"/>
        <v>665500</v>
      </c>
      <c r="AA162" s="15">
        <f t="shared" si="487"/>
        <v>701800.00000000012</v>
      </c>
      <c r="AB162" s="15">
        <f t="shared" si="487"/>
        <v>750200.00000000012</v>
      </c>
      <c r="AC162" s="15">
        <f t="shared" si="487"/>
        <v>798600.00000000012</v>
      </c>
      <c r="AD162" s="15">
        <f t="shared" si="487"/>
        <v>847000.00000000023</v>
      </c>
      <c r="AE162" s="15">
        <f t="shared" si="487"/>
        <v>883300.00000000012</v>
      </c>
      <c r="AF162" s="15">
        <f t="shared" si="487"/>
        <v>919600.00000000012</v>
      </c>
      <c r="AG162" s="15">
        <f t="shared" si="487"/>
        <v>955900.00000000012</v>
      </c>
      <c r="AH162" s="15">
        <f t="shared" si="487"/>
        <v>992200</v>
      </c>
      <c r="AI162" s="15">
        <f t="shared" si="487"/>
        <v>1052700</v>
      </c>
      <c r="AJ162" s="15">
        <f t="shared" si="487"/>
        <v>1149500</v>
      </c>
      <c r="AK162" s="15">
        <f t="shared" si="487"/>
        <v>1306800.0000000002</v>
      </c>
    </row>
    <row r="163" spans="1:37" x14ac:dyDescent="0.25">
      <c r="A163" s="101" t="s">
        <v>75</v>
      </c>
      <c r="B163" s="15">
        <f t="shared" ref="B163:AK163" si="488">B28</f>
        <v>288794.27500000002</v>
      </c>
      <c r="C163" s="15">
        <f t="shared" si="488"/>
        <v>300257.3</v>
      </c>
      <c r="D163" s="15">
        <f t="shared" si="488"/>
        <v>316379.49</v>
      </c>
      <c r="E163" s="15">
        <f t="shared" si="488"/>
        <v>327028.8492</v>
      </c>
      <c r="F163" s="15">
        <f t="shared" si="488"/>
        <v>341672.1</v>
      </c>
      <c r="G163" s="15">
        <f t="shared" si="488"/>
        <v>350916.47499999998</v>
      </c>
      <c r="H163" s="15">
        <f t="shared" si="488"/>
        <v>359717.12</v>
      </c>
      <c r="I163" s="15">
        <f t="shared" si="488"/>
        <v>368074.62620000006</v>
      </c>
      <c r="J163" s="15">
        <f t="shared" si="488"/>
        <v>375987.25</v>
      </c>
      <c r="K163" s="15">
        <f t="shared" si="488"/>
        <v>392479.18500000006</v>
      </c>
      <c r="L163" s="15">
        <f t="shared" si="488"/>
        <v>421543.5</v>
      </c>
      <c r="M163" s="15">
        <f t="shared" si="488"/>
        <v>471242.64720000001</v>
      </c>
      <c r="N163" s="15">
        <f t="shared" si="488"/>
        <v>314785.75974999997</v>
      </c>
      <c r="O163" s="15">
        <f t="shared" si="488"/>
        <v>327280.45700000005</v>
      </c>
      <c r="P163" s="15">
        <f t="shared" si="488"/>
        <v>344853.64409999998</v>
      </c>
      <c r="Q163" s="15">
        <f t="shared" si="488"/>
        <v>356461.44562800002</v>
      </c>
      <c r="R163" s="15">
        <f t="shared" si="488"/>
        <v>372422.58900000004</v>
      </c>
      <c r="S163" s="15">
        <f t="shared" si="488"/>
        <v>382498.95775</v>
      </c>
      <c r="T163" s="15">
        <f t="shared" si="488"/>
        <v>392091.66079999995</v>
      </c>
      <c r="U163" s="15">
        <f t="shared" si="488"/>
        <v>401201.34255799995</v>
      </c>
      <c r="V163" s="15">
        <f t="shared" si="488"/>
        <v>409826.10249999992</v>
      </c>
      <c r="W163" s="15">
        <f t="shared" si="488"/>
        <v>427802.31165000005</v>
      </c>
      <c r="X163" s="15">
        <f t="shared" si="488"/>
        <v>459482.41500000004</v>
      </c>
      <c r="Y163" s="105">
        <f t="shared" si="488"/>
        <v>513654.48544800002</v>
      </c>
      <c r="Z163" s="15">
        <f t="shared" si="488"/>
        <v>343116.47812750004</v>
      </c>
      <c r="AA163" s="15">
        <f t="shared" si="488"/>
        <v>356735.69813000015</v>
      </c>
      <c r="AB163" s="15">
        <f t="shared" si="488"/>
        <v>375890.47206900007</v>
      </c>
      <c r="AC163" s="15">
        <f t="shared" si="488"/>
        <v>388542.97573452001</v>
      </c>
      <c r="AD163" s="15">
        <f t="shared" si="488"/>
        <v>405940.62201000005</v>
      </c>
      <c r="AE163" s="15">
        <f t="shared" si="488"/>
        <v>416923.86394750001</v>
      </c>
      <c r="AF163" s="15">
        <f t="shared" si="488"/>
        <v>427379.91027200001</v>
      </c>
      <c r="AG163" s="15">
        <f t="shared" si="488"/>
        <v>437309.46338822</v>
      </c>
      <c r="AH163" s="15">
        <f t="shared" si="488"/>
        <v>446710.45172500005</v>
      </c>
      <c r="AI163" s="15">
        <f t="shared" si="488"/>
        <v>466304.51969850005</v>
      </c>
      <c r="AJ163" s="15">
        <f t="shared" si="488"/>
        <v>500835.8323500001</v>
      </c>
      <c r="AK163" s="15">
        <f t="shared" si="488"/>
        <v>559883.38913832011</v>
      </c>
    </row>
    <row r="164" spans="1:37" x14ac:dyDescent="0.25">
      <c r="A164" s="101" t="s">
        <v>110</v>
      </c>
      <c r="B164" s="15">
        <f t="shared" ref="B164:M164" si="489">B143</f>
        <v>433200</v>
      </c>
      <c r="C164" s="15">
        <f t="shared" si="489"/>
        <v>456400</v>
      </c>
      <c r="D164" s="15">
        <f t="shared" si="489"/>
        <v>487200</v>
      </c>
      <c r="E164" s="15">
        <f t="shared" si="489"/>
        <v>510200</v>
      </c>
      <c r="F164" s="15">
        <f t="shared" si="489"/>
        <v>539800</v>
      </c>
      <c r="G164" s="15">
        <f t="shared" si="489"/>
        <v>561500</v>
      </c>
      <c r="H164" s="15">
        <f t="shared" si="489"/>
        <v>582700</v>
      </c>
      <c r="I164" s="15">
        <f t="shared" si="489"/>
        <v>603600</v>
      </c>
      <c r="J164" s="15">
        <f t="shared" si="489"/>
        <v>624100</v>
      </c>
      <c r="K164" s="15">
        <f t="shared" si="489"/>
        <v>659400</v>
      </c>
      <c r="L164" s="15">
        <f t="shared" si="489"/>
        <v>737700</v>
      </c>
      <c r="M164" s="15">
        <f t="shared" si="489"/>
        <v>895400</v>
      </c>
      <c r="N164" s="15">
        <f>N143</f>
        <v>441864</v>
      </c>
      <c r="O164" s="15">
        <f t="shared" ref="O164:Y164" si="490">O143</f>
        <v>465528.00000000006</v>
      </c>
      <c r="P164" s="15">
        <f t="shared" si="490"/>
        <v>496944</v>
      </c>
      <c r="Q164" s="15">
        <f t="shared" si="490"/>
        <v>520404</v>
      </c>
      <c r="R164" s="15">
        <f t="shared" si="490"/>
        <v>550596</v>
      </c>
      <c r="S164" s="15">
        <f t="shared" si="490"/>
        <v>572730</v>
      </c>
      <c r="T164" s="15">
        <f t="shared" si="490"/>
        <v>594354</v>
      </c>
      <c r="U164" s="15">
        <f t="shared" si="490"/>
        <v>615672</v>
      </c>
      <c r="V164" s="15">
        <f t="shared" si="490"/>
        <v>636582</v>
      </c>
      <c r="W164" s="15">
        <f t="shared" si="490"/>
        <v>672588</v>
      </c>
      <c r="X164" s="15">
        <f t="shared" si="490"/>
        <v>752454</v>
      </c>
      <c r="Y164" s="105">
        <f t="shared" si="490"/>
        <v>913308</v>
      </c>
      <c r="Z164" s="15">
        <f>Z143</f>
        <v>455119.92</v>
      </c>
      <c r="AA164" s="15">
        <f t="shared" ref="AA164:AK164" si="491">AA143</f>
        <v>479493.84000000008</v>
      </c>
      <c r="AB164" s="15">
        <f t="shared" si="491"/>
        <v>511852.32</v>
      </c>
      <c r="AC164" s="15">
        <f t="shared" si="491"/>
        <v>536016.12000000011</v>
      </c>
      <c r="AD164" s="15">
        <f t="shared" si="491"/>
        <v>567113.88000000012</v>
      </c>
      <c r="AE164" s="15">
        <f t="shared" si="491"/>
        <v>589911.9</v>
      </c>
      <c r="AF164" s="15">
        <f t="shared" si="491"/>
        <v>612184.62</v>
      </c>
      <c r="AG164" s="15">
        <f t="shared" si="491"/>
        <v>634142.16</v>
      </c>
      <c r="AH164" s="15">
        <f t="shared" si="491"/>
        <v>655679.46000000008</v>
      </c>
      <c r="AI164" s="15">
        <f t="shared" si="491"/>
        <v>692765.64</v>
      </c>
      <c r="AJ164" s="15">
        <f t="shared" si="491"/>
        <v>775027.62000000011</v>
      </c>
      <c r="AK164" s="15">
        <f t="shared" si="491"/>
        <v>940707.24000000011</v>
      </c>
    </row>
    <row r="167" spans="1:37" x14ac:dyDescent="0.25">
      <c r="A167" s="101" t="s">
        <v>111</v>
      </c>
      <c r="B167" s="99">
        <f t="shared" ref="B167:M167" si="492">B162*12/B164</f>
        <v>15.235457063711911</v>
      </c>
      <c r="C167" s="99">
        <f t="shared" si="492"/>
        <v>15.249780893952673</v>
      </c>
      <c r="D167" s="99">
        <f t="shared" si="492"/>
        <v>15.270935960591133</v>
      </c>
      <c r="E167" s="99">
        <f t="shared" si="492"/>
        <v>15.523324186593493</v>
      </c>
      <c r="F167" s="99">
        <f t="shared" si="492"/>
        <v>15.561319007039645</v>
      </c>
      <c r="G167" s="99">
        <f t="shared" si="492"/>
        <v>15.60106856634016</v>
      </c>
      <c r="H167" s="99">
        <f t="shared" si="492"/>
        <v>15.651278530976489</v>
      </c>
      <c r="I167" s="99">
        <f t="shared" si="492"/>
        <v>15.705765407554672</v>
      </c>
      <c r="J167" s="99">
        <f t="shared" si="492"/>
        <v>15.766704053837525</v>
      </c>
      <c r="K167" s="99">
        <f t="shared" si="492"/>
        <v>15.832575068243859</v>
      </c>
      <c r="L167" s="99">
        <f t="shared" si="492"/>
        <v>15.453436356242374</v>
      </c>
      <c r="M167" s="99">
        <f t="shared" si="492"/>
        <v>14.473978110341747</v>
      </c>
      <c r="N167" s="99">
        <f>N162*12/N164</f>
        <v>16.430394872630494</v>
      </c>
      <c r="O167" s="99">
        <f t="shared" ref="O167:Y167" si="493">O162*12/O164</f>
        <v>16.445842140537195</v>
      </c>
      <c r="P167" s="99">
        <f t="shared" si="493"/>
        <v>16.468656428088476</v>
      </c>
      <c r="Q167" s="99">
        <f t="shared" si="493"/>
        <v>16.740839809071414</v>
      </c>
      <c r="R167" s="99">
        <f t="shared" si="493"/>
        <v>16.781814615434911</v>
      </c>
      <c r="S167" s="99">
        <f t="shared" si="493"/>
        <v>16.824681787229583</v>
      </c>
      <c r="T167" s="99">
        <f t="shared" si="493"/>
        <v>16.878829788307979</v>
      </c>
      <c r="U167" s="99">
        <f t="shared" si="493"/>
        <v>16.937590145402098</v>
      </c>
      <c r="V167" s="99">
        <f t="shared" si="493"/>
        <v>17.003308293354195</v>
      </c>
      <c r="W167" s="99">
        <f t="shared" si="493"/>
        <v>17.074345661831611</v>
      </c>
      <c r="X167" s="99">
        <f t="shared" si="493"/>
        <v>16.665470580261385</v>
      </c>
      <c r="Y167" s="106">
        <f t="shared" si="493"/>
        <v>15.609192079780316</v>
      </c>
      <c r="Z167" s="99">
        <f>Z162*12/Z164</f>
        <v>17.54702365038208</v>
      </c>
      <c r="AA167" s="99">
        <f t="shared" ref="AA167:AK167" si="494">AA162*12/AA164</f>
        <v>17.563520732612542</v>
      </c>
      <c r="AB167" s="99">
        <f t="shared" si="494"/>
        <v>17.587885505725563</v>
      </c>
      <c r="AC167" s="99">
        <f t="shared" si="494"/>
        <v>17.878566786386948</v>
      </c>
      <c r="AD167" s="99">
        <f t="shared" si="494"/>
        <v>17.922326288328549</v>
      </c>
      <c r="AE167" s="99">
        <f t="shared" si="494"/>
        <v>17.968106763060725</v>
      </c>
      <c r="AF167" s="99">
        <f t="shared" si="494"/>
        <v>18.025934725377457</v>
      </c>
      <c r="AG167" s="99">
        <f t="shared" si="494"/>
        <v>18.088688504798359</v>
      </c>
      <c r="AH167" s="99">
        <f t="shared" si="494"/>
        <v>18.158872934650109</v>
      </c>
      <c r="AI167" s="99">
        <f t="shared" si="494"/>
        <v>18.234738085451234</v>
      </c>
      <c r="AJ167" s="99">
        <f t="shared" si="494"/>
        <v>17.798075376978176</v>
      </c>
      <c r="AK167" s="99">
        <f t="shared" si="494"/>
        <v>16.670010958988687</v>
      </c>
    </row>
    <row r="168" spans="1:37" x14ac:dyDescent="0.25">
      <c r="A168" s="101" t="s">
        <v>112</v>
      </c>
      <c r="B168" s="99">
        <f t="shared" ref="B168:M168" si="495">B163*12/B164</f>
        <v>7.9998414127423825</v>
      </c>
      <c r="C168" s="99">
        <f t="shared" si="495"/>
        <v>7.8945828220858889</v>
      </c>
      <c r="D168" s="99">
        <f t="shared" si="495"/>
        <v>7.7925982758620691</v>
      </c>
      <c r="E168" s="99">
        <f t="shared" si="495"/>
        <v>7.6917800674245385</v>
      </c>
      <c r="F168" s="99">
        <f t="shared" si="495"/>
        <v>7.5955264912930707</v>
      </c>
      <c r="G168" s="99">
        <f t="shared" si="495"/>
        <v>7.4995506678539616</v>
      </c>
      <c r="H168" s="99">
        <f t="shared" si="495"/>
        <v>7.4079379440535433</v>
      </c>
      <c r="I168" s="99">
        <f t="shared" si="495"/>
        <v>7.3175870019880724</v>
      </c>
      <c r="J168" s="99">
        <f t="shared" si="495"/>
        <v>7.2293654863002725</v>
      </c>
      <c r="K168" s="99">
        <f t="shared" si="495"/>
        <v>7.1424783439490458</v>
      </c>
      <c r="L168" s="99">
        <f t="shared" si="495"/>
        <v>6.8571533143554291</v>
      </c>
      <c r="M168" s="99">
        <f t="shared" si="495"/>
        <v>6.3155145928076841</v>
      </c>
      <c r="N168" s="99">
        <f>N163*12/N164</f>
        <v>8.5488501371462711</v>
      </c>
      <c r="O168" s="99">
        <f t="shared" ref="O168:Y168" si="496">O163*12/O164</f>
        <v>8.4363679177192346</v>
      </c>
      <c r="P168" s="99">
        <f t="shared" si="496"/>
        <v>8.3273844320486816</v>
      </c>
      <c r="Q168" s="99">
        <f t="shared" si="496"/>
        <v>8.2196473269536749</v>
      </c>
      <c r="R168" s="99">
        <f t="shared" si="496"/>
        <v>8.1167881132445565</v>
      </c>
      <c r="S168" s="99">
        <f t="shared" si="496"/>
        <v>8.0142257136870771</v>
      </c>
      <c r="T168" s="99">
        <f t="shared" si="496"/>
        <v>7.9163258421748646</v>
      </c>
      <c r="U168" s="99">
        <f t="shared" si="496"/>
        <v>7.8197743452617612</v>
      </c>
      <c r="V168" s="99">
        <f t="shared" si="496"/>
        <v>7.7254984118306806</v>
      </c>
      <c r="W168" s="99">
        <f t="shared" si="496"/>
        <v>7.632648426376921</v>
      </c>
      <c r="X168" s="99">
        <f t="shared" si="496"/>
        <v>7.3277422673013906</v>
      </c>
      <c r="Y168" s="106">
        <f t="shared" si="496"/>
        <v>6.7489322609415447</v>
      </c>
      <c r="Z168" s="99">
        <f>Z163*12/Z164</f>
        <v>9.0468414072712982</v>
      </c>
      <c r="AA168" s="99">
        <f t="shared" ref="AA168:AK168" si="497">AA163*12/AA164</f>
        <v>8.9278068255475418</v>
      </c>
      <c r="AB168" s="99">
        <f t="shared" si="497"/>
        <v>8.8124747873136542</v>
      </c>
      <c r="AC168" s="99">
        <f t="shared" si="497"/>
        <v>8.6984617343490331</v>
      </c>
      <c r="AD168" s="99">
        <f t="shared" si="497"/>
        <v>8.5896107217830746</v>
      </c>
      <c r="AE168" s="99">
        <f t="shared" si="497"/>
        <v>8.4810738135135093</v>
      </c>
      <c r="AF168" s="99">
        <f t="shared" si="497"/>
        <v>8.3774710368646641</v>
      </c>
      <c r="AG168" s="99">
        <f t="shared" si="497"/>
        <v>8.2752951809080795</v>
      </c>
      <c r="AH168" s="99">
        <f t="shared" si="497"/>
        <v>8.1755274455295588</v>
      </c>
      <c r="AI168" s="99">
        <f t="shared" si="497"/>
        <v>8.0772687230590705</v>
      </c>
      <c r="AJ168" s="99">
        <f t="shared" si="497"/>
        <v>7.7546010401538989</v>
      </c>
      <c r="AK168" s="99">
        <f t="shared" si="497"/>
        <v>7.1420739460449365</v>
      </c>
    </row>
    <row r="169" spans="1:37" x14ac:dyDescent="0.25">
      <c r="A169" s="101"/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DFE3433506BAFE41BE35CF287E57F4A3" ma:contentTypeVersion="8" ma:contentTypeDescription="Crie um novo documento." ma:contentTypeScope="" ma:versionID="dfd7c7ec1fd49dc4f3a6ce24e50ffc32">
  <xsd:schema xmlns:xsd="http://www.w3.org/2001/XMLSchema" xmlns:xs="http://www.w3.org/2001/XMLSchema" xmlns:p="http://schemas.microsoft.com/office/2006/metadata/properties" xmlns:ns2="a79f210f-3503-4922-b689-a323853869ac" targetNamespace="http://schemas.microsoft.com/office/2006/metadata/properties" ma:root="true" ma:fieldsID="0011c6f50fb5e2573392bced946b702a" ns2:_="">
    <xsd:import namespace="a79f210f-3503-4922-b689-a323853869a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79f210f-3503-4922-b689-a323853869a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5" nillable="true" ma:displayName="Length (seconds)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E33B592E-6021-4237-AC23-FEF9E6601EE6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4B180BAF-974C-409F-8E32-8E44B5688514}">
  <ds:schemaRefs>
    <ds:schemaRef ds:uri="http://schemas.microsoft.com/office/2006/documentManagement/types"/>
    <ds:schemaRef ds:uri="http://purl.org/dc/terms/"/>
    <ds:schemaRef ds:uri="http://schemas.microsoft.com/office/2006/metadata/properties"/>
    <ds:schemaRef ds:uri="http://purl.org/dc/dcmitype/"/>
    <ds:schemaRef ds:uri="a79f210f-3503-4922-b689-a323853869ac"/>
    <ds:schemaRef ds:uri="http://purl.org/dc/elements/1.1/"/>
    <ds:schemaRef ds:uri="http://schemas.openxmlformats.org/package/2006/metadata/core-properties"/>
    <ds:schemaRef ds:uri="http://schemas.microsoft.com/office/infopath/2007/PartnerControls"/>
    <ds:schemaRef ds:uri="http://www.w3.org/XML/1998/namespace"/>
  </ds:schemaRefs>
</ds:datastoreItem>
</file>

<file path=customXml/itemProps3.xml><?xml version="1.0" encoding="utf-8"?>
<ds:datastoreItem xmlns:ds="http://schemas.openxmlformats.org/officeDocument/2006/customXml" ds:itemID="{46F448D1-EB5C-4DE9-85F0-7207F41BCF5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79f210f-3503-4922-b689-a323853869a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P &amp; L</vt:lpstr>
      <vt:lpstr>Indicadores Absolutos</vt:lpstr>
      <vt:lpstr>Indicadores Relativos</vt:lpstr>
      <vt:lpstr>SIMULAÇÃO</vt:lpstr>
      <vt:lpstr>ORÇAMENTO 3 anos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User</dc:creator>
  <cp:keywords/>
  <dc:description/>
  <cp:lastModifiedBy>VitorThor23@outlook.com</cp:lastModifiedBy>
  <cp:revision/>
  <dcterms:created xsi:type="dcterms:W3CDTF">2015-04-24T12:50:43Z</dcterms:created>
  <dcterms:modified xsi:type="dcterms:W3CDTF">2026-06-06T22:01:10Z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0x010100DFE3433506BAFE41BE35CF287E57F4A3</vt:lpwstr>
  </property>
</Properties>
</file>